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甘特图" sheetId="2" state="visible" r:id="rId2"/>
  </sheets>
  <definedNames>
    <definedName name="_xlnm._FilterDatabase" localSheetId="0" hidden="1">'时间节点计划表'!$A$1:$I$45</definedName>
    <definedName name="_xlnm.Print_Titles" localSheetId="1">'甘特图'!$1:$2,'甘特图'!$A:$F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b val="1"/>
      <color rgb="001F4E78"/>
      <sz val="11"/>
    </font>
    <font>
      <name val="微软雅黑"/>
      <b val="1"/>
      <color rgb="00FFFFFF"/>
      <sz val="10"/>
    </font>
    <font>
      <name val="微软雅黑"/>
      <color rgb="00FFFFFF"/>
      <sz val="7"/>
    </font>
    <font>
      <name val="微软雅黑"/>
      <color rgb="00FDE68A"/>
      <sz val="7"/>
    </font>
    <font>
      <name val="微软雅黑"/>
      <color rgb="001F2937"/>
      <sz val="9"/>
    </font>
    <font>
      <name val="微软雅黑"/>
      <b val="1"/>
      <color rgb="00FFFFFF"/>
      <sz val="8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2E75B6"/>
      </patternFill>
    </fill>
    <fill>
      <patternFill patternType="solid">
        <fgColor rgb="00334155"/>
      </patternFill>
    </fill>
    <fill>
      <patternFill patternType="solid">
        <fgColor rgb="FF9DC3E6"/>
        <bgColor rgb="FF9DC3E6"/>
      </patternFill>
    </fill>
    <fill>
      <patternFill patternType="solid">
        <fgColor rgb="00F8FAFC"/>
      </patternFill>
    </fill>
    <fill>
      <patternFill patternType="solid">
        <fgColor rgb="002F80ED"/>
      </patternFill>
    </fill>
    <fill>
      <patternFill patternType="solid">
        <fgColor rgb="00F59E0B"/>
      </patternFill>
    </fill>
    <fill>
      <patternFill patternType="solid">
        <fgColor rgb="00DC2626"/>
      </patternFill>
    </fill>
    <fill>
      <patternFill patternType="solid">
        <fgColor rgb="0016A34A"/>
      </patternFill>
    </fill>
  </fills>
  <borders count="9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164" fontId="9" fillId="8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4" fontId="10" fillId="9" borderId="1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1" pivotButton="0" quotePrefix="0" xfId="0"/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left" vertical="center" wrapText="1"/>
    </xf>
    <xf numFmtId="164" fontId="10" fillId="10" borderId="1" applyAlignment="1" pivotButton="0" quotePrefix="0" xfId="0">
      <alignment horizontal="center" vertical="center" wrapText="1"/>
    </xf>
    <xf numFmtId="1" fontId="10" fillId="10" borderId="1" applyAlignment="1" pivotButton="0" quotePrefix="0" xfId="0">
      <alignment horizontal="center" vertical="center" wrapText="1"/>
    </xf>
    <xf numFmtId="0" fontId="11" fillId="11" borderId="0" applyAlignment="1" pivotButton="0" quotePrefix="0" xfId="0">
      <alignment horizontal="center" vertical="center" wrapText="1"/>
    </xf>
    <xf numFmtId="0" fontId="11" fillId="12" borderId="0" applyAlignment="1" pivotButton="0" quotePrefix="0" xfId="0">
      <alignment horizontal="center" vertical="center" wrapText="1"/>
    </xf>
    <xf numFmtId="0" fontId="11" fillId="1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7">
    <dxf>
      <font>
        <name val="微软雅黑"/>
        <b val="1"/>
        <color rgb="00991B1B"/>
        <sz val="10"/>
      </font>
      <fill>
        <patternFill patternType="solid">
          <fgColor rgb="00FECACA"/>
        </patternFill>
      </fill>
    </dxf>
    <dxf>
      <font>
        <name val="微软雅黑"/>
        <color rgb="0014532D"/>
        <sz val="10"/>
      </font>
      <fill>
        <patternFill patternType="solid">
          <fgColor rgb="00BBF7D0"/>
        </patternFill>
      </fill>
    </dxf>
    <dxf>
      <font>
        <name val="微软雅黑"/>
        <color rgb="001F2937"/>
        <sz val="10"/>
      </font>
      <fill>
        <patternFill patternType="solid">
          <fgColor rgb="00D6EAF8"/>
        </patternFill>
      </fill>
    </dxf>
    <dxf>
      <font>
        <name val="微软雅黑"/>
        <color rgb="001F2937"/>
        <sz val="9"/>
      </font>
      <fill>
        <patternFill patternType="solid">
          <fgColor rgb="FF9DC3E6"/>
          <bgColor rgb="FF9DC3E6"/>
        </patternFill>
      </fill>
    </dxf>
    <dxf>
      <font>
        <name val="微软雅黑"/>
        <color rgb="001F2937"/>
        <sz val="9"/>
      </font>
      <fill>
        <patternFill patternType="solid">
          <fgColor rgb="FFF8CBAD"/>
          <bgColor rgb="FFF8CBAD"/>
        </patternFill>
      </fill>
    </dxf>
    <dxf>
      <font>
        <name val="微软雅黑"/>
        <b val="1"/>
        <color rgb="00991B1B"/>
        <sz val="9"/>
      </font>
      <fill>
        <patternFill patternType="solid">
          <fgColor rgb="FFF4A6A6"/>
          <bgColor rgb="FFF4A6A6"/>
        </patternFill>
      </fill>
    </dxf>
    <dxf>
      <font>
        <name val="微软雅黑"/>
        <color rgb="0014532D"/>
        <sz val="9"/>
      </font>
      <fill>
        <patternFill patternType="solid">
          <fgColor rgb="FFA9D08E"/>
          <bgColor rgb="FFA9D08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5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9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5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9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5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9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5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9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5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9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5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9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5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9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5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9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5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9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5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9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5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9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5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9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5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9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5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9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5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9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5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9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5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9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5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9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5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9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5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9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5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9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5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9" t="n"/>
      <c r="G45" s="8" t="inlineStr"/>
      <c r="H45" s="10" t="inlineStr">
        <is>
          <t>王杰</t>
        </is>
      </c>
      <c r="I45" s="11">
        <f>IF(OR(E45="",F45=""),"待填",F45-E45)</f>
        <v/>
      </c>
    </row>
    <row r="46">
      <c r="E46" s="13" t="n"/>
      <c r="F46" s="13" t="n"/>
    </row>
    <row r="47" ht="48" customHeight="1">
      <c r="A47" s="14" t="inlineStr">
        <is>
          <t>说明：A列按第一期/第二期合并，B列按任务组合并。偏移天数=实际−预估（正值延期）。日期请在本表 E/F 列填写（不要手工涂色）：预估有日期后自动蓝底，实际填写后按时绿底、超时红底。甘特图色条随本表日期自动变长/变色，见工作表「甘特图」（向右滚动查看按天色条）。</t>
        </is>
      </c>
    </row>
    <row r="48">
      <c r="E48" s="13" t="n"/>
      <c r="F48" s="13" t="n"/>
    </row>
    <row r="49">
      <c r="E49" s="13" t="n"/>
      <c r="F49" s="13" t="n"/>
    </row>
    <row r="50">
      <c r="E50" s="13" t="n"/>
      <c r="F50" s="13" t="n"/>
    </row>
    <row r="51">
      <c r="E51" s="13" t="n"/>
      <c r="F51" s="13" t="n"/>
    </row>
    <row r="52">
      <c r="E52" s="13" t="n"/>
      <c r="F52" s="13" t="n"/>
    </row>
    <row r="53">
      <c r="E53" s="13" t="n"/>
      <c r="F53" s="13" t="n"/>
    </row>
    <row r="54">
      <c r="E54" s="13" t="n"/>
      <c r="F54" s="13" t="n"/>
    </row>
    <row r="55">
      <c r="E55" s="13" t="n"/>
      <c r="F55" s="13" t="n"/>
    </row>
    <row r="56">
      <c r="E56" s="13" t="n"/>
      <c r="F56" s="13" t="n"/>
    </row>
    <row r="57">
      <c r="E57" s="13" t="n"/>
      <c r="F57" s="13" t="n"/>
    </row>
    <row r="58">
      <c r="E58" s="13" t="n"/>
      <c r="F58" s="13" t="n"/>
    </row>
    <row r="59">
      <c r="E59" s="13" t="n"/>
      <c r="F59" s="13" t="n"/>
    </row>
    <row r="60">
      <c r="E60" s="13" t="n"/>
      <c r="F60" s="13" t="n"/>
    </row>
    <row r="61">
      <c r="E61" s="13" t="n"/>
      <c r="F61" s="13" t="n"/>
    </row>
    <row r="62">
      <c r="E62" s="13" t="n"/>
      <c r="F62" s="13" t="n"/>
    </row>
    <row r="63">
      <c r="E63" s="13" t="n"/>
      <c r="F63" s="13" t="n"/>
    </row>
    <row r="64">
      <c r="E64" s="13" t="n"/>
      <c r="F64" s="13" t="n"/>
    </row>
    <row r="65">
      <c r="E65" s="13" t="n"/>
      <c r="F65" s="13" t="n"/>
    </row>
    <row r="66">
      <c r="E66" s="13" t="n"/>
      <c r="F66" s="13" t="n"/>
    </row>
    <row r="67">
      <c r="E67" s="13" t="n"/>
      <c r="F67" s="13" t="n"/>
    </row>
    <row r="68">
      <c r="E68" s="13" t="n"/>
      <c r="F68" s="13" t="n"/>
    </row>
    <row r="69">
      <c r="E69" s="13" t="n"/>
      <c r="F69" s="13" t="n"/>
    </row>
    <row r="70">
      <c r="E70" s="13" t="n"/>
      <c r="F70" s="13" t="n"/>
    </row>
    <row r="71">
      <c r="E71" s="13" t="n"/>
      <c r="F71" s="13" t="n"/>
    </row>
    <row r="72">
      <c r="E72" s="13" t="n"/>
      <c r="F72" s="13" t="n"/>
    </row>
    <row r="73">
      <c r="E73" s="13" t="n"/>
      <c r="F73" s="13" t="n"/>
    </row>
    <row r="74">
      <c r="E74" s="13" t="n"/>
      <c r="F74" s="13" t="n"/>
    </row>
    <row r="75">
      <c r="E75" s="13" t="n"/>
      <c r="F75" s="13" t="n"/>
    </row>
    <row r="76">
      <c r="E76" s="13" t="n"/>
      <c r="F76" s="13" t="n"/>
    </row>
    <row r="77">
      <c r="E77" s="13" t="n"/>
      <c r="F77" s="13" t="n"/>
    </row>
    <row r="78">
      <c r="E78" s="13" t="n"/>
      <c r="F78" s="13" t="n"/>
    </row>
    <row r="79">
      <c r="E79" s="13" t="n"/>
      <c r="F79" s="13" t="n"/>
    </row>
    <row r="80">
      <c r="E80" s="13" t="n"/>
      <c r="F80" s="13" t="n"/>
    </row>
    <row r="81">
      <c r="E81" s="13" t="n"/>
      <c r="F81" s="13" t="n"/>
    </row>
    <row r="82">
      <c r="E82" s="13" t="n"/>
      <c r="F82" s="13" t="n"/>
    </row>
    <row r="83">
      <c r="E83" s="13" t="n"/>
      <c r="F83" s="13" t="n"/>
    </row>
    <row r="84">
      <c r="E84" s="13" t="n"/>
      <c r="F84" s="13" t="n"/>
    </row>
    <row r="85">
      <c r="E85" s="13" t="n"/>
      <c r="F85" s="13" t="n"/>
    </row>
    <row r="86">
      <c r="E86" s="13" t="n"/>
      <c r="F86" s="13" t="n"/>
    </row>
    <row r="87">
      <c r="E87" s="13" t="n"/>
      <c r="F87" s="13" t="n"/>
    </row>
    <row r="88">
      <c r="E88" s="13" t="n"/>
      <c r="F88" s="13" t="n"/>
    </row>
    <row r="89">
      <c r="E89" s="13" t="n"/>
      <c r="F89" s="13" t="n"/>
    </row>
    <row r="90">
      <c r="E90" s="13" t="n"/>
      <c r="F90" s="13" t="n"/>
    </row>
    <row r="91">
      <c r="E91" s="13" t="n"/>
      <c r="F91" s="13" t="n"/>
    </row>
    <row r="92">
      <c r="E92" s="13" t="n"/>
      <c r="F92" s="13" t="n"/>
    </row>
    <row r="93">
      <c r="E93" s="13" t="n"/>
      <c r="F93" s="13" t="n"/>
    </row>
    <row r="94">
      <c r="E94" s="13" t="n"/>
      <c r="F94" s="13" t="n"/>
    </row>
    <row r="95">
      <c r="E95" s="13" t="n"/>
      <c r="F95" s="13" t="n"/>
    </row>
    <row r="96">
      <c r="E96" s="13" t="n"/>
      <c r="F96" s="13" t="n"/>
    </row>
    <row r="97">
      <c r="E97" s="13" t="n"/>
      <c r="F97" s="13" t="n"/>
    </row>
    <row r="98">
      <c r="E98" s="13" t="n"/>
      <c r="F98" s="13" t="n"/>
    </row>
    <row r="99">
      <c r="E99" s="13" t="n"/>
      <c r="F99" s="13" t="n"/>
    </row>
    <row r="100">
      <c r="E100" s="13" t="n"/>
      <c r="F100" s="13" t="n"/>
    </row>
    <row r="101">
      <c r="E101" s="13" t="n"/>
      <c r="F101" s="13" t="n"/>
    </row>
    <row r="102">
      <c r="E102" s="13" t="n"/>
      <c r="F102" s="13" t="n"/>
    </row>
    <row r="103">
      <c r="E103" s="13" t="n"/>
      <c r="F103" s="13" t="n"/>
    </row>
    <row r="104">
      <c r="E104" s="13" t="n"/>
      <c r="F104" s="13" t="n"/>
    </row>
    <row r="105">
      <c r="E105" s="13" t="n"/>
      <c r="F105" s="13" t="n"/>
    </row>
    <row r="106">
      <c r="E106" s="13" t="n"/>
      <c r="F106" s="13" t="n"/>
    </row>
    <row r="107">
      <c r="E107" s="13" t="n"/>
      <c r="F107" s="13" t="n"/>
    </row>
    <row r="108">
      <c r="E108" s="13" t="n"/>
      <c r="F108" s="13" t="n"/>
    </row>
    <row r="109">
      <c r="E109" s="13" t="n"/>
      <c r="F109" s="13" t="n"/>
    </row>
    <row r="110">
      <c r="E110" s="13" t="n"/>
      <c r="F110" s="13" t="n"/>
    </row>
    <row r="111">
      <c r="E111" s="13" t="n"/>
      <c r="F111" s="13" t="n"/>
    </row>
    <row r="112">
      <c r="E112" s="13" t="n"/>
      <c r="F112" s="13" t="n"/>
    </row>
    <row r="113">
      <c r="E113" s="13" t="n"/>
      <c r="F113" s="13" t="n"/>
    </row>
    <row r="114">
      <c r="E114" s="13" t="n"/>
      <c r="F114" s="13" t="n"/>
    </row>
    <row r="115">
      <c r="E115" s="13" t="n"/>
      <c r="F115" s="13" t="n"/>
    </row>
    <row r="116">
      <c r="E116" s="13" t="n"/>
      <c r="F116" s="13" t="n"/>
    </row>
    <row r="117">
      <c r="E117" s="13" t="n"/>
      <c r="F117" s="13" t="n"/>
    </row>
    <row r="118">
      <c r="E118" s="13" t="n"/>
      <c r="F118" s="13" t="n"/>
    </row>
    <row r="119">
      <c r="E119" s="13" t="n"/>
      <c r="F119" s="13" t="n"/>
    </row>
    <row r="120">
      <c r="E120" s="13" t="n"/>
      <c r="F120" s="13" t="n"/>
    </row>
    <row r="121">
      <c r="E121" s="13" t="n"/>
      <c r="F121" s="13" t="n"/>
    </row>
    <row r="122">
      <c r="E122" s="13" t="n"/>
      <c r="F122" s="13" t="n"/>
    </row>
    <row r="123">
      <c r="E123" s="13" t="n"/>
      <c r="F123" s="13" t="n"/>
    </row>
    <row r="124">
      <c r="E124" s="13" t="n"/>
      <c r="F124" s="13" t="n"/>
    </row>
    <row r="125">
      <c r="E125" s="13" t="n"/>
      <c r="F125" s="13" t="n"/>
    </row>
    <row r="126">
      <c r="E126" s="13" t="n"/>
      <c r="F126" s="13" t="n"/>
    </row>
    <row r="127">
      <c r="E127" s="13" t="n"/>
      <c r="F127" s="13" t="n"/>
    </row>
    <row r="128">
      <c r="E128" s="13" t="n"/>
      <c r="F128" s="13" t="n"/>
    </row>
    <row r="129">
      <c r="E129" s="13" t="n"/>
      <c r="F129" s="13" t="n"/>
    </row>
    <row r="130">
      <c r="E130" s="13" t="n"/>
      <c r="F130" s="13" t="n"/>
    </row>
    <row r="131">
      <c r="E131" s="13" t="n"/>
      <c r="F131" s="13" t="n"/>
    </row>
    <row r="132">
      <c r="E132" s="13" t="n"/>
      <c r="F132" s="13" t="n"/>
    </row>
    <row r="133">
      <c r="E133" s="13" t="n"/>
      <c r="F133" s="13" t="n"/>
    </row>
    <row r="134">
      <c r="E134" s="13" t="n"/>
      <c r="F134" s="13" t="n"/>
    </row>
    <row r="135">
      <c r="E135" s="13" t="n"/>
      <c r="F135" s="13" t="n"/>
    </row>
    <row r="136">
      <c r="E136" s="13" t="n"/>
      <c r="F136" s="13" t="n"/>
    </row>
    <row r="137">
      <c r="E137" s="13" t="n"/>
      <c r="F137" s="13" t="n"/>
    </row>
    <row r="138">
      <c r="E138" s="13" t="n"/>
      <c r="F138" s="13" t="n"/>
    </row>
    <row r="139">
      <c r="E139" s="13" t="n"/>
      <c r="F139" s="13" t="n"/>
    </row>
    <row r="140">
      <c r="E140" s="13" t="n"/>
      <c r="F140" s="13" t="n"/>
    </row>
    <row r="141">
      <c r="E141" s="13" t="n"/>
      <c r="F141" s="13" t="n"/>
    </row>
    <row r="142">
      <c r="E142" s="13" t="n"/>
      <c r="F142" s="13" t="n"/>
    </row>
    <row r="143">
      <c r="E143" s="13" t="n"/>
      <c r="F143" s="13" t="n"/>
    </row>
    <row r="144">
      <c r="E144" s="13" t="n"/>
      <c r="F144" s="13" t="n"/>
    </row>
    <row r="145">
      <c r="E145" s="13" t="n"/>
      <c r="F145" s="13" t="n"/>
    </row>
    <row r="146">
      <c r="E146" s="13" t="n"/>
      <c r="F146" s="13" t="n"/>
    </row>
    <row r="147">
      <c r="E147" s="13" t="n"/>
      <c r="F147" s="13" t="n"/>
    </row>
    <row r="148">
      <c r="E148" s="13" t="n"/>
      <c r="F148" s="13" t="n"/>
    </row>
    <row r="149">
      <c r="E149" s="13" t="n"/>
      <c r="F149" s="13" t="n"/>
    </row>
    <row r="150">
      <c r="E150" s="13" t="n"/>
      <c r="F150" s="13" t="n"/>
    </row>
    <row r="151">
      <c r="E151" s="13" t="n"/>
      <c r="F151" s="13" t="n"/>
    </row>
    <row r="152">
      <c r="E152" s="13" t="n"/>
      <c r="F152" s="13" t="n"/>
    </row>
    <row r="153">
      <c r="E153" s="13" t="n"/>
      <c r="F153" s="13" t="n"/>
    </row>
    <row r="154">
      <c r="E154" s="13" t="n"/>
      <c r="F154" s="13" t="n"/>
    </row>
    <row r="155">
      <c r="E155" s="13" t="n"/>
      <c r="F155" s="13" t="n"/>
    </row>
    <row r="156">
      <c r="E156" s="13" t="n"/>
      <c r="F156" s="13" t="n"/>
    </row>
    <row r="157">
      <c r="E157" s="13" t="n"/>
      <c r="F157" s="13" t="n"/>
    </row>
    <row r="158">
      <c r="E158" s="13" t="n"/>
      <c r="F158" s="13" t="n"/>
    </row>
    <row r="159">
      <c r="E159" s="13" t="n"/>
      <c r="F159" s="13" t="n"/>
    </row>
    <row r="160">
      <c r="E160" s="13" t="n"/>
      <c r="F160" s="13" t="n"/>
    </row>
    <row r="161">
      <c r="E161" s="13" t="n"/>
      <c r="F161" s="13" t="n"/>
    </row>
    <row r="162">
      <c r="E162" s="13" t="n"/>
      <c r="F162" s="13" t="n"/>
    </row>
    <row r="163">
      <c r="E163" s="13" t="n"/>
      <c r="F163" s="13" t="n"/>
    </row>
    <row r="164">
      <c r="E164" s="13" t="n"/>
      <c r="F164" s="13" t="n"/>
    </row>
    <row r="165">
      <c r="E165" s="13" t="n"/>
      <c r="F165" s="13" t="n"/>
    </row>
    <row r="166">
      <c r="E166" s="13" t="n"/>
      <c r="F166" s="13" t="n"/>
    </row>
    <row r="167">
      <c r="E167" s="13" t="n"/>
      <c r="F167" s="13" t="n"/>
    </row>
    <row r="168">
      <c r="E168" s="13" t="n"/>
      <c r="F168" s="13" t="n"/>
    </row>
    <row r="169">
      <c r="E169" s="13" t="n"/>
      <c r="F169" s="13" t="n"/>
    </row>
    <row r="170">
      <c r="E170" s="13" t="n"/>
      <c r="F170" s="13" t="n"/>
    </row>
    <row r="171">
      <c r="E171" s="13" t="n"/>
      <c r="F171" s="13" t="n"/>
    </row>
    <row r="172">
      <c r="E172" s="13" t="n"/>
      <c r="F172" s="13" t="n"/>
    </row>
    <row r="173">
      <c r="E173" s="13" t="n"/>
      <c r="F173" s="13" t="n"/>
    </row>
    <row r="174">
      <c r="E174" s="13" t="n"/>
      <c r="F174" s="13" t="n"/>
    </row>
    <row r="175">
      <c r="E175" s="13" t="n"/>
      <c r="F175" s="13" t="n"/>
    </row>
    <row r="176">
      <c r="E176" s="13" t="n"/>
      <c r="F176" s="13" t="n"/>
    </row>
    <row r="177">
      <c r="E177" s="13" t="n"/>
      <c r="F177" s="13" t="n"/>
    </row>
    <row r="178">
      <c r="E178" s="13" t="n"/>
      <c r="F178" s="13" t="n"/>
    </row>
    <row r="179">
      <c r="E179" s="13" t="n"/>
      <c r="F179" s="13" t="n"/>
    </row>
    <row r="180">
      <c r="E180" s="13" t="n"/>
      <c r="F180" s="13" t="n"/>
    </row>
    <row r="181">
      <c r="E181" s="13" t="n"/>
      <c r="F181" s="13" t="n"/>
    </row>
    <row r="182">
      <c r="E182" s="13" t="n"/>
      <c r="F182" s="13" t="n"/>
    </row>
    <row r="183">
      <c r="E183" s="13" t="n"/>
      <c r="F183" s="13" t="n"/>
    </row>
    <row r="184">
      <c r="E184" s="13" t="n"/>
      <c r="F184" s="13" t="n"/>
    </row>
    <row r="185">
      <c r="E185" s="13" t="n"/>
      <c r="F185" s="13" t="n"/>
    </row>
    <row r="186">
      <c r="E186" s="13" t="n"/>
      <c r="F186" s="13" t="n"/>
    </row>
    <row r="187">
      <c r="E187" s="13" t="n"/>
      <c r="F187" s="13" t="n"/>
    </row>
    <row r="188">
      <c r="E188" s="13" t="n"/>
      <c r="F188" s="13" t="n"/>
    </row>
    <row r="189">
      <c r="E189" s="13" t="n"/>
      <c r="F189" s="13" t="n"/>
    </row>
    <row r="190">
      <c r="E190" s="13" t="n"/>
      <c r="F190" s="13" t="n"/>
    </row>
    <row r="191">
      <c r="E191" s="13" t="n"/>
      <c r="F191" s="13" t="n"/>
    </row>
    <row r="192">
      <c r="E192" s="13" t="n"/>
      <c r="F192" s="13" t="n"/>
    </row>
    <row r="193">
      <c r="E193" s="13" t="n"/>
      <c r="F193" s="13" t="n"/>
    </row>
    <row r="194">
      <c r="E194" s="13" t="n"/>
      <c r="F194" s="13" t="n"/>
    </row>
    <row r="195">
      <c r="E195" s="13" t="n"/>
      <c r="F195" s="13" t="n"/>
    </row>
    <row r="196">
      <c r="E196" s="13" t="n"/>
      <c r="F196" s="13" t="n"/>
    </row>
    <row r="197">
      <c r="E197" s="13" t="n"/>
      <c r="F197" s="13" t="n"/>
    </row>
    <row r="198">
      <c r="E198" s="13" t="n"/>
      <c r="F198" s="13" t="n"/>
    </row>
    <row r="199">
      <c r="E199" s="13" t="n"/>
      <c r="F199" s="13" t="n"/>
    </row>
    <row r="200">
      <c r="E200" s="13" t="n"/>
      <c r="F200" s="13" t="n"/>
    </row>
  </sheetData>
  <autoFilter ref="A1:I45"/>
  <mergeCells count="11">
    <mergeCell ref="B31:B33"/>
    <mergeCell ref="B40:B45"/>
    <mergeCell ref="A2:A30"/>
    <mergeCell ref="B13:B18"/>
    <mergeCell ref="A47:I47"/>
    <mergeCell ref="B7:B12"/>
    <mergeCell ref="B25:B30"/>
    <mergeCell ref="B34:B39"/>
    <mergeCell ref="B19:B24"/>
    <mergeCell ref="A31:A45"/>
    <mergeCell ref="B2:B6"/>
  </mergeCells>
  <conditionalFormatting sqref="F2:F200">
    <cfRule type="expression" priority="1" dxfId="0">
      <formula>AND(ISNUMBER(F2),ISNUMBER(E2),F2&gt;E2)</formula>
    </cfRule>
    <cfRule type="expression" priority="3" dxfId="1">
      <formula>AND(ISNUMBER(F2),ISNUMBER(E2),F2&lt;=E2)</formula>
    </cfRule>
  </conditionalFormatting>
  <conditionalFormatting sqref="E2:E45">
    <cfRule type="expression" priority="2" dxfId="2">
      <formula>ISNUMBER(E2)</formula>
    </cfRule>
  </conditionalFormatting>
  <conditionalFormatting sqref="I2:I45">
    <cfRule type="expression" priority="4" dxfId="0">
      <formula>AND(ISNUMBER(I2),I2&gt;0)</formula>
    </cfRule>
    <cfRule type="expression" priority="5" dxfId="1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BS92"/>
  <sheetViews>
    <sheetView showGridLines="1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4" customWidth="1" min="4" max="4"/>
    <col width="14" customWidth="1" min="5" max="5"/>
    <col width="10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</cols>
  <sheetData>
    <row r="1" ht="28" customHeight="1">
      <c r="A1" s="15" t="inlineStr">
        <is>
          <t>PAB 甘特图（2026-08-20 → 2026-10-23，每格 1 天）。每行从首日合并到完成日（预估）；填写实际日期后自动生成实际色条。请在「时间节点计划表」填写日期。</t>
        </is>
      </c>
      <c r="G1" s="16" t="inlineStr">
        <is>
          <t>2026年8月</t>
        </is>
      </c>
      <c r="H1" s="17" t="n"/>
      <c r="I1" s="17" t="n"/>
      <c r="J1" s="17" t="n"/>
      <c r="K1" s="17" t="n"/>
      <c r="L1" s="17" t="n"/>
      <c r="M1" s="17" t="n"/>
      <c r="N1" s="17" t="n"/>
      <c r="O1" s="17" t="n"/>
      <c r="P1" s="17" t="n"/>
      <c r="Q1" s="17" t="n"/>
      <c r="R1" s="17" t="n"/>
      <c r="S1" s="16" t="inlineStr">
        <is>
          <t>2026年9月</t>
        </is>
      </c>
      <c r="T1" s="17" t="n"/>
      <c r="U1" s="17" t="n"/>
      <c r="V1" s="17" t="n"/>
      <c r="W1" s="17" t="n"/>
      <c r="X1" s="17" t="n"/>
      <c r="Y1" s="17" t="n"/>
      <c r="Z1" s="17" t="n"/>
      <c r="AA1" s="17" t="n"/>
      <c r="AB1" s="17" t="n"/>
      <c r="AC1" s="17" t="n"/>
      <c r="AD1" s="17" t="n"/>
      <c r="AE1" s="17" t="n"/>
      <c r="AF1" s="17" t="n"/>
      <c r="AG1" s="17" t="n"/>
      <c r="AH1" s="17" t="n"/>
      <c r="AI1" s="17" t="n"/>
      <c r="AJ1" s="17" t="n"/>
      <c r="AK1" s="17" t="n"/>
      <c r="AL1" s="17" t="n"/>
      <c r="AM1" s="17" t="n"/>
      <c r="AN1" s="17" t="n"/>
      <c r="AO1" s="17" t="n"/>
      <c r="AP1" s="17" t="n"/>
      <c r="AQ1" s="17" t="n"/>
      <c r="AR1" s="17" t="n"/>
      <c r="AS1" s="17" t="n"/>
      <c r="AT1" s="17" t="n"/>
      <c r="AU1" s="17" t="n"/>
      <c r="AV1" s="17" t="n"/>
      <c r="AW1" s="16" t="inlineStr">
        <is>
          <t>2026年10月</t>
        </is>
      </c>
      <c r="AX1" s="17" t="n"/>
      <c r="AY1" s="17" t="n"/>
      <c r="AZ1" s="17" t="n"/>
      <c r="BA1" s="17" t="n"/>
      <c r="BB1" s="17" t="n"/>
      <c r="BC1" s="17" t="n"/>
      <c r="BD1" s="17" t="n"/>
      <c r="BE1" s="17" t="n"/>
      <c r="BF1" s="17" t="n"/>
      <c r="BG1" s="17" t="n"/>
      <c r="BH1" s="17" t="n"/>
      <c r="BI1" s="17" t="n"/>
      <c r="BJ1" s="17" t="n"/>
      <c r="BK1" s="17" t="n"/>
      <c r="BL1" s="17" t="n"/>
      <c r="BM1" s="17" t="n"/>
      <c r="BN1" s="17" t="n"/>
      <c r="BO1" s="17" t="n"/>
      <c r="BP1" s="17" t="n"/>
      <c r="BQ1" s="17" t="n"/>
      <c r="BR1" s="17" t="n"/>
      <c r="BS1" s="17" t="n"/>
    </row>
    <row r="2" ht="18" customHeight="1">
      <c r="A2" s="18" t="inlineStr">
        <is>
          <t>类型</t>
        </is>
      </c>
      <c r="B2" s="18" t="inlineStr">
        <is>
          <t>阶段</t>
        </is>
      </c>
      <c r="C2" s="18" t="inlineStr">
        <is>
          <t>任务</t>
        </is>
      </c>
      <c r="D2" s="18" t="inlineStr">
        <is>
          <t>预估完成</t>
        </is>
      </c>
      <c r="E2" s="18" t="inlineStr">
        <is>
          <t>实际完成</t>
        </is>
      </c>
      <c r="F2" s="18" t="inlineStr">
        <is>
          <t>偏移</t>
        </is>
      </c>
      <c r="G2" s="19" t="n">
        <v>46254</v>
      </c>
      <c r="H2" s="19" t="n">
        <v>46255</v>
      </c>
      <c r="I2" s="20" t="n">
        <v>46256</v>
      </c>
      <c r="J2" s="20" t="n">
        <v>46257</v>
      </c>
      <c r="K2" s="19" t="n">
        <v>46258</v>
      </c>
      <c r="L2" s="19" t="n">
        <v>46259</v>
      </c>
      <c r="M2" s="19" t="n">
        <v>46260</v>
      </c>
      <c r="N2" s="19" t="n">
        <v>46261</v>
      </c>
      <c r="O2" s="19" t="n">
        <v>46262</v>
      </c>
      <c r="P2" s="20" t="n">
        <v>46263</v>
      </c>
      <c r="Q2" s="20" t="n">
        <v>46264</v>
      </c>
      <c r="R2" s="19" t="n">
        <v>46265</v>
      </c>
      <c r="S2" s="19" t="n">
        <v>46266</v>
      </c>
      <c r="T2" s="19" t="n">
        <v>46267</v>
      </c>
      <c r="U2" s="19" t="n">
        <v>46268</v>
      </c>
      <c r="V2" s="19" t="n">
        <v>46269</v>
      </c>
      <c r="W2" s="20" t="n">
        <v>46270</v>
      </c>
      <c r="X2" s="20" t="n">
        <v>46271</v>
      </c>
      <c r="Y2" s="19" t="n">
        <v>46272</v>
      </c>
      <c r="Z2" s="19" t="n">
        <v>46273</v>
      </c>
      <c r="AA2" s="19" t="n">
        <v>46274</v>
      </c>
      <c r="AB2" s="19" t="n">
        <v>46275</v>
      </c>
      <c r="AC2" s="19" t="n">
        <v>46276</v>
      </c>
      <c r="AD2" s="20" t="n">
        <v>46277</v>
      </c>
      <c r="AE2" s="20" t="n">
        <v>46278</v>
      </c>
      <c r="AF2" s="19" t="n">
        <v>46279</v>
      </c>
      <c r="AG2" s="19" t="n">
        <v>46280</v>
      </c>
      <c r="AH2" s="19" t="n">
        <v>46281</v>
      </c>
      <c r="AI2" s="19" t="n">
        <v>46282</v>
      </c>
      <c r="AJ2" s="19" t="n">
        <v>46283</v>
      </c>
      <c r="AK2" s="20" t="n">
        <v>46284</v>
      </c>
      <c r="AL2" s="20" t="n">
        <v>46285</v>
      </c>
      <c r="AM2" s="19" t="n">
        <v>46286</v>
      </c>
      <c r="AN2" s="19" t="n">
        <v>46287</v>
      </c>
      <c r="AO2" s="19" t="n">
        <v>46288</v>
      </c>
      <c r="AP2" s="19" t="n">
        <v>46289</v>
      </c>
      <c r="AQ2" s="19" t="n">
        <v>46290</v>
      </c>
      <c r="AR2" s="20" t="n">
        <v>46291</v>
      </c>
      <c r="AS2" s="20" t="n">
        <v>46292</v>
      </c>
      <c r="AT2" s="19" t="n">
        <v>46293</v>
      </c>
      <c r="AU2" s="19" t="n">
        <v>46294</v>
      </c>
      <c r="AV2" s="19" t="n">
        <v>46295</v>
      </c>
      <c r="AW2" s="19" t="n">
        <v>46296</v>
      </c>
      <c r="AX2" s="19" t="n">
        <v>46297</v>
      </c>
      <c r="AY2" s="20" t="n">
        <v>46298</v>
      </c>
      <c r="AZ2" s="20" t="n">
        <v>46299</v>
      </c>
      <c r="BA2" s="19" t="n">
        <v>46300</v>
      </c>
      <c r="BB2" s="19" t="n">
        <v>46301</v>
      </c>
      <c r="BC2" s="19" t="n">
        <v>46302</v>
      </c>
      <c r="BD2" s="19" t="n">
        <v>46303</v>
      </c>
      <c r="BE2" s="19" t="n">
        <v>46304</v>
      </c>
      <c r="BF2" s="20" t="n">
        <v>46305</v>
      </c>
      <c r="BG2" s="20" t="n">
        <v>46306</v>
      </c>
      <c r="BH2" s="19" t="n">
        <v>46307</v>
      </c>
      <c r="BI2" s="19" t="n">
        <v>46308</v>
      </c>
      <c r="BJ2" s="19" t="n">
        <v>46309</v>
      </c>
      <c r="BK2" s="19" t="n">
        <v>46310</v>
      </c>
      <c r="BL2" s="19" t="n">
        <v>46311</v>
      </c>
      <c r="BM2" s="20" t="n">
        <v>46312</v>
      </c>
      <c r="BN2" s="20" t="n">
        <v>46313</v>
      </c>
      <c r="BO2" s="19" t="n">
        <v>46314</v>
      </c>
      <c r="BP2" s="19" t="n">
        <v>46315</v>
      </c>
      <c r="BQ2" s="19" t="n">
        <v>46316</v>
      </c>
      <c r="BR2" s="19" t="n">
        <v>46317</v>
      </c>
      <c r="BS2" s="19" t="n">
        <v>46318</v>
      </c>
    </row>
    <row r="3" ht="20" customHeight="1">
      <c r="A3" s="21" t="inlineStr">
        <is>
          <t>预估</t>
        </is>
      </c>
      <c r="B3" s="21" t="inlineStr">
        <is>
          <t>第一期</t>
        </is>
      </c>
      <c r="C3" s="22" t="inlineStr">
        <is>
          <t>一期零件图纸整理归档</t>
        </is>
      </c>
      <c r="D3" s="23">
        <f>'时间节点计划表'!E2</f>
        <v/>
      </c>
      <c r="E3" s="23">
        <f>IF(COUNT('时间节点计划表'!F2),'时间节点计划表'!F2,"")</f>
        <v/>
      </c>
      <c r="F3" s="24" t="inlineStr"/>
      <c r="G3" s="25">
        <f>D3</f>
        <v/>
      </c>
      <c r="H3" s="26" t="n"/>
      <c r="I3" s="26" t="n"/>
      <c r="J3" s="26" t="n"/>
      <c r="K3" s="27" t="n"/>
      <c r="L3" s="28" t="n"/>
      <c r="M3" s="28" t="n"/>
      <c r="N3" s="28" t="n"/>
      <c r="O3" s="28" t="n"/>
      <c r="P3" s="28" t="n"/>
      <c r="Q3" s="28" t="n"/>
      <c r="R3" s="28" t="n"/>
      <c r="S3" s="28" t="n"/>
      <c r="T3" s="28" t="n"/>
      <c r="U3" s="28" t="n"/>
      <c r="V3" s="28" t="n"/>
      <c r="W3" s="28" t="n"/>
      <c r="X3" s="28" t="n"/>
      <c r="Y3" s="28" t="n"/>
      <c r="Z3" s="28" t="n"/>
      <c r="AA3" s="28" t="n"/>
      <c r="AB3" s="28" t="n"/>
      <c r="AC3" s="28" t="n"/>
      <c r="AD3" s="28" t="n"/>
      <c r="AE3" s="28" t="n"/>
      <c r="AF3" s="28" t="n"/>
      <c r="AG3" s="28" t="n"/>
      <c r="AH3" s="28" t="n"/>
      <c r="AI3" s="28" t="n"/>
      <c r="AJ3" s="28" t="n"/>
      <c r="AK3" s="28" t="n"/>
      <c r="AL3" s="28" t="n"/>
      <c r="AM3" s="28" t="n"/>
      <c r="AN3" s="28" t="n"/>
      <c r="AO3" s="28" t="n"/>
      <c r="AP3" s="28" t="n"/>
      <c r="AQ3" s="28" t="n"/>
      <c r="AR3" s="28" t="n"/>
      <c r="AS3" s="28" t="n"/>
      <c r="AT3" s="28" t="n"/>
      <c r="AU3" s="28" t="n"/>
      <c r="AV3" s="28" t="n"/>
      <c r="AW3" s="28" t="n"/>
      <c r="AX3" s="28" t="n"/>
      <c r="AY3" s="28" t="n"/>
      <c r="AZ3" s="28" t="n"/>
      <c r="BA3" s="28" t="n"/>
      <c r="BB3" s="28" t="n"/>
      <c r="BC3" s="28" t="n"/>
      <c r="BD3" s="28" t="n"/>
      <c r="BE3" s="28" t="n"/>
      <c r="BF3" s="28" t="n"/>
      <c r="BG3" s="28" t="n"/>
      <c r="BH3" s="28" t="n"/>
      <c r="BI3" s="28" t="n"/>
      <c r="BJ3" s="28" t="n"/>
      <c r="BK3" s="28" t="n"/>
      <c r="BL3" s="28" t="n"/>
      <c r="BM3" s="28" t="n"/>
      <c r="BN3" s="28" t="n"/>
      <c r="BO3" s="28" t="n"/>
      <c r="BP3" s="28" t="n"/>
      <c r="BQ3" s="28" t="n"/>
      <c r="BR3" s="28" t="n"/>
      <c r="BS3" s="28" t="n"/>
    </row>
    <row r="4" ht="20" customHeight="1">
      <c r="A4" s="29" t="inlineStr">
        <is>
          <t>实际</t>
        </is>
      </c>
      <c r="B4" s="29" t="inlineStr">
        <is>
          <t>第一期</t>
        </is>
      </c>
      <c r="C4" s="30" t="inlineStr">
        <is>
          <t>一期零件图纸整理归档</t>
        </is>
      </c>
      <c r="D4" s="31">
        <f>'时间节点计划表'!E2</f>
        <v/>
      </c>
      <c r="E4" s="31">
        <f>IF(COUNT('时间节点计划表'!F2),'时间节点计划表'!F2,"")</f>
        <v/>
      </c>
      <c r="F4" s="32">
        <f>IF(OR(D4="",E4=""),"待填",E4-D4)</f>
        <v/>
      </c>
      <c r="G4" s="23">
        <f>IF(AND(COUNT($E4),N(G$2)=N($E4)),$E4,IF(AND(COUNT($E4),N(G$2)&gt;=N($G$2),N(G$2)&lt;N($E4))," ",""))</f>
        <v/>
      </c>
      <c r="H4" s="23">
        <f>IF(AND(COUNT($E4),N(H$2)=N($E4)),$E4,IF(AND(COUNT($E4),N(H$2)&gt;=N($G$2),N(H$2)&lt;N($E4))," ",""))</f>
        <v/>
      </c>
      <c r="I4" s="23">
        <f>IF(AND(COUNT($E4),N(I$2)=N($E4)),$E4,IF(AND(COUNT($E4),N(I$2)&gt;=N($G$2),N(I$2)&lt;N($E4))," ",""))</f>
        <v/>
      </c>
      <c r="J4" s="23">
        <f>IF(AND(COUNT($E4),N(J$2)=N($E4)),$E4,IF(AND(COUNT($E4),N(J$2)&gt;=N($G$2),N(J$2)&lt;N($E4))," ",""))</f>
        <v/>
      </c>
      <c r="K4" s="23">
        <f>IF(AND(COUNT($E4),N(K$2)=N($E4)),$E4,IF(AND(COUNT($E4),N(K$2)&gt;=N($G$2),N(K$2)&lt;N($E4))," ",""))</f>
        <v/>
      </c>
      <c r="L4" s="23">
        <f>IF(AND(COUNT($E4),N(L$2)=N($E4)),$E4,IF(AND(COUNT($E4),N(L$2)&gt;=N($G$2),N(L$2)&lt;N($E4))," ",""))</f>
        <v/>
      </c>
      <c r="M4" s="23">
        <f>IF(AND(COUNT($E4),N(M$2)=N($E4)),$E4,IF(AND(COUNT($E4),N(M$2)&gt;=N($G$2),N(M$2)&lt;N($E4))," ",""))</f>
        <v/>
      </c>
      <c r="N4" s="23">
        <f>IF(AND(COUNT($E4),N(N$2)=N($E4)),$E4,IF(AND(COUNT($E4),N(N$2)&gt;=N($G$2),N(N$2)&lt;N($E4))," ",""))</f>
        <v/>
      </c>
      <c r="O4" s="23">
        <f>IF(AND(COUNT($E4),N(O$2)=N($E4)),$E4,IF(AND(COUNT($E4),N(O$2)&gt;=N($G$2),N(O$2)&lt;N($E4))," ",""))</f>
        <v/>
      </c>
      <c r="P4" s="23">
        <f>IF(AND(COUNT($E4),N(P$2)=N($E4)),$E4,IF(AND(COUNT($E4),N(P$2)&gt;=N($G$2),N(P$2)&lt;N($E4))," ",""))</f>
        <v/>
      </c>
      <c r="Q4" s="23">
        <f>IF(AND(COUNT($E4),N(Q$2)=N($E4)),$E4,IF(AND(COUNT($E4),N(Q$2)&gt;=N($G$2),N(Q$2)&lt;N($E4))," ",""))</f>
        <v/>
      </c>
      <c r="R4" s="23">
        <f>IF(AND(COUNT($E4),N(R$2)=N($E4)),$E4,IF(AND(COUNT($E4),N(R$2)&gt;=N($G$2),N(R$2)&lt;N($E4))," ",""))</f>
        <v/>
      </c>
      <c r="S4" s="23">
        <f>IF(AND(COUNT($E4),N(S$2)=N($E4)),$E4,IF(AND(COUNT($E4),N(S$2)&gt;=N($G$2),N(S$2)&lt;N($E4))," ",""))</f>
        <v/>
      </c>
      <c r="T4" s="23">
        <f>IF(AND(COUNT($E4),N(T$2)=N($E4)),$E4,IF(AND(COUNT($E4),N(T$2)&gt;=N($G$2),N(T$2)&lt;N($E4))," ",""))</f>
        <v/>
      </c>
      <c r="U4" s="23">
        <f>IF(AND(COUNT($E4),N(U$2)=N($E4)),$E4,IF(AND(COUNT($E4),N(U$2)&gt;=N($G$2),N(U$2)&lt;N($E4))," ",""))</f>
        <v/>
      </c>
      <c r="V4" s="23">
        <f>IF(AND(COUNT($E4),N(V$2)=N($E4)),$E4,IF(AND(COUNT($E4),N(V$2)&gt;=N($G$2),N(V$2)&lt;N($E4))," ",""))</f>
        <v/>
      </c>
      <c r="W4" s="23">
        <f>IF(AND(COUNT($E4),N(W$2)=N($E4)),$E4,IF(AND(COUNT($E4),N(W$2)&gt;=N($G$2),N(W$2)&lt;N($E4))," ",""))</f>
        <v/>
      </c>
      <c r="X4" s="23">
        <f>IF(AND(COUNT($E4),N(X$2)=N($E4)),$E4,IF(AND(COUNT($E4),N(X$2)&gt;=N($G$2),N(X$2)&lt;N($E4))," ",""))</f>
        <v/>
      </c>
      <c r="Y4" s="23">
        <f>IF(AND(COUNT($E4),N(Y$2)=N($E4)),$E4,IF(AND(COUNT($E4),N(Y$2)&gt;=N($G$2),N(Y$2)&lt;N($E4))," ",""))</f>
        <v/>
      </c>
      <c r="Z4" s="23">
        <f>IF(AND(COUNT($E4),N(Z$2)=N($E4)),$E4,IF(AND(COUNT($E4),N(Z$2)&gt;=N($G$2),N(Z$2)&lt;N($E4))," ",""))</f>
        <v/>
      </c>
      <c r="AA4" s="23">
        <f>IF(AND(COUNT($E4),N(AA$2)=N($E4)),$E4,IF(AND(COUNT($E4),N(AA$2)&gt;=N($G$2),N(AA$2)&lt;N($E4))," ",""))</f>
        <v/>
      </c>
      <c r="AB4" s="23">
        <f>IF(AND(COUNT($E4),N(AB$2)=N($E4)),$E4,IF(AND(COUNT($E4),N(AB$2)&gt;=N($G$2),N(AB$2)&lt;N($E4))," ",""))</f>
        <v/>
      </c>
      <c r="AC4" s="23">
        <f>IF(AND(COUNT($E4),N(AC$2)=N($E4)),$E4,IF(AND(COUNT($E4),N(AC$2)&gt;=N($G$2),N(AC$2)&lt;N($E4))," ",""))</f>
        <v/>
      </c>
      <c r="AD4" s="23">
        <f>IF(AND(COUNT($E4),N(AD$2)=N($E4)),$E4,IF(AND(COUNT($E4),N(AD$2)&gt;=N($G$2),N(AD$2)&lt;N($E4))," ",""))</f>
        <v/>
      </c>
      <c r="AE4" s="23">
        <f>IF(AND(COUNT($E4),N(AE$2)=N($E4)),$E4,IF(AND(COUNT($E4),N(AE$2)&gt;=N($G$2),N(AE$2)&lt;N($E4))," ",""))</f>
        <v/>
      </c>
      <c r="AF4" s="23">
        <f>IF(AND(COUNT($E4),N(AF$2)=N($E4)),$E4,IF(AND(COUNT($E4),N(AF$2)&gt;=N($G$2),N(AF$2)&lt;N($E4))," ",""))</f>
        <v/>
      </c>
      <c r="AG4" s="23">
        <f>IF(AND(COUNT($E4),N(AG$2)=N($E4)),$E4,IF(AND(COUNT($E4),N(AG$2)&gt;=N($G$2),N(AG$2)&lt;N($E4))," ",""))</f>
        <v/>
      </c>
      <c r="AH4" s="23">
        <f>IF(AND(COUNT($E4),N(AH$2)=N($E4)),$E4,IF(AND(COUNT($E4),N(AH$2)&gt;=N($G$2),N(AH$2)&lt;N($E4))," ",""))</f>
        <v/>
      </c>
      <c r="AI4" s="23">
        <f>IF(AND(COUNT($E4),N(AI$2)=N($E4)),$E4,IF(AND(COUNT($E4),N(AI$2)&gt;=N($G$2),N(AI$2)&lt;N($E4))," ",""))</f>
        <v/>
      </c>
      <c r="AJ4" s="23">
        <f>IF(AND(COUNT($E4),N(AJ$2)=N($E4)),$E4,IF(AND(COUNT($E4),N(AJ$2)&gt;=N($G$2),N(AJ$2)&lt;N($E4))," ",""))</f>
        <v/>
      </c>
      <c r="AK4" s="23">
        <f>IF(AND(COUNT($E4),N(AK$2)=N($E4)),$E4,IF(AND(COUNT($E4),N(AK$2)&gt;=N($G$2),N(AK$2)&lt;N($E4))," ",""))</f>
        <v/>
      </c>
      <c r="AL4" s="23">
        <f>IF(AND(COUNT($E4),N(AL$2)=N($E4)),$E4,IF(AND(COUNT($E4),N(AL$2)&gt;=N($G$2),N(AL$2)&lt;N($E4))," ",""))</f>
        <v/>
      </c>
      <c r="AM4" s="23">
        <f>IF(AND(COUNT($E4),N(AM$2)=N($E4)),$E4,IF(AND(COUNT($E4),N(AM$2)&gt;=N($G$2),N(AM$2)&lt;N($E4))," ",""))</f>
        <v/>
      </c>
      <c r="AN4" s="23">
        <f>IF(AND(COUNT($E4),N(AN$2)=N($E4)),$E4,IF(AND(COUNT($E4),N(AN$2)&gt;=N($G$2),N(AN$2)&lt;N($E4))," ",""))</f>
        <v/>
      </c>
      <c r="AO4" s="23">
        <f>IF(AND(COUNT($E4),N(AO$2)=N($E4)),$E4,IF(AND(COUNT($E4),N(AO$2)&gt;=N($G$2),N(AO$2)&lt;N($E4))," ",""))</f>
        <v/>
      </c>
      <c r="AP4" s="23">
        <f>IF(AND(COUNT($E4),N(AP$2)=N($E4)),$E4,IF(AND(COUNT($E4),N(AP$2)&gt;=N($G$2),N(AP$2)&lt;N($E4))," ",""))</f>
        <v/>
      </c>
      <c r="AQ4" s="23">
        <f>IF(AND(COUNT($E4),N(AQ$2)=N($E4)),$E4,IF(AND(COUNT($E4),N(AQ$2)&gt;=N($G$2),N(AQ$2)&lt;N($E4))," ",""))</f>
        <v/>
      </c>
      <c r="AR4" s="23">
        <f>IF(AND(COUNT($E4),N(AR$2)=N($E4)),$E4,IF(AND(COUNT($E4),N(AR$2)&gt;=N($G$2),N(AR$2)&lt;N($E4))," ",""))</f>
        <v/>
      </c>
      <c r="AS4" s="23">
        <f>IF(AND(COUNT($E4),N(AS$2)=N($E4)),$E4,IF(AND(COUNT($E4),N(AS$2)&gt;=N($G$2),N(AS$2)&lt;N($E4))," ",""))</f>
        <v/>
      </c>
      <c r="AT4" s="23">
        <f>IF(AND(COUNT($E4),N(AT$2)=N($E4)),$E4,IF(AND(COUNT($E4),N(AT$2)&gt;=N($G$2),N(AT$2)&lt;N($E4))," ",""))</f>
        <v/>
      </c>
      <c r="AU4" s="23">
        <f>IF(AND(COUNT($E4),N(AU$2)=N($E4)),$E4,IF(AND(COUNT($E4),N(AU$2)&gt;=N($G$2),N(AU$2)&lt;N($E4))," ",""))</f>
        <v/>
      </c>
      <c r="AV4" s="23">
        <f>IF(AND(COUNT($E4),N(AV$2)=N($E4)),$E4,IF(AND(COUNT($E4),N(AV$2)&gt;=N($G$2),N(AV$2)&lt;N($E4))," ",""))</f>
        <v/>
      </c>
      <c r="AW4" s="23">
        <f>IF(AND(COUNT($E4),N(AW$2)=N($E4)),$E4,IF(AND(COUNT($E4),N(AW$2)&gt;=N($G$2),N(AW$2)&lt;N($E4))," ",""))</f>
        <v/>
      </c>
      <c r="AX4" s="23">
        <f>IF(AND(COUNT($E4),N(AX$2)=N($E4)),$E4,IF(AND(COUNT($E4),N(AX$2)&gt;=N($G$2),N(AX$2)&lt;N($E4))," ",""))</f>
        <v/>
      </c>
      <c r="AY4" s="23">
        <f>IF(AND(COUNT($E4),N(AY$2)=N($E4)),$E4,IF(AND(COUNT($E4),N(AY$2)&gt;=N($G$2),N(AY$2)&lt;N($E4))," ",""))</f>
        <v/>
      </c>
      <c r="AZ4" s="23">
        <f>IF(AND(COUNT($E4),N(AZ$2)=N($E4)),$E4,IF(AND(COUNT($E4),N(AZ$2)&gt;=N($G$2),N(AZ$2)&lt;N($E4))," ",""))</f>
        <v/>
      </c>
      <c r="BA4" s="23">
        <f>IF(AND(COUNT($E4),N(BA$2)=N($E4)),$E4,IF(AND(COUNT($E4),N(BA$2)&gt;=N($G$2),N(BA$2)&lt;N($E4))," ",""))</f>
        <v/>
      </c>
      <c r="BB4" s="23">
        <f>IF(AND(COUNT($E4),N(BB$2)=N($E4)),$E4,IF(AND(COUNT($E4),N(BB$2)&gt;=N($G$2),N(BB$2)&lt;N($E4))," ",""))</f>
        <v/>
      </c>
      <c r="BC4" s="23">
        <f>IF(AND(COUNT($E4),N(BC$2)=N($E4)),$E4,IF(AND(COUNT($E4),N(BC$2)&gt;=N($G$2),N(BC$2)&lt;N($E4))," ",""))</f>
        <v/>
      </c>
      <c r="BD4" s="23">
        <f>IF(AND(COUNT($E4),N(BD$2)=N($E4)),$E4,IF(AND(COUNT($E4),N(BD$2)&gt;=N($G$2),N(BD$2)&lt;N($E4))," ",""))</f>
        <v/>
      </c>
      <c r="BE4" s="23">
        <f>IF(AND(COUNT($E4),N(BE$2)=N($E4)),$E4,IF(AND(COUNT($E4),N(BE$2)&gt;=N($G$2),N(BE$2)&lt;N($E4))," ",""))</f>
        <v/>
      </c>
      <c r="BF4" s="23">
        <f>IF(AND(COUNT($E4),N(BF$2)=N($E4)),$E4,IF(AND(COUNT($E4),N(BF$2)&gt;=N($G$2),N(BF$2)&lt;N($E4))," ",""))</f>
        <v/>
      </c>
      <c r="BG4" s="23">
        <f>IF(AND(COUNT($E4),N(BG$2)=N($E4)),$E4,IF(AND(COUNT($E4),N(BG$2)&gt;=N($G$2),N(BG$2)&lt;N($E4))," ",""))</f>
        <v/>
      </c>
      <c r="BH4" s="23">
        <f>IF(AND(COUNT($E4),N(BH$2)=N($E4)),$E4,IF(AND(COUNT($E4),N(BH$2)&gt;=N($G$2),N(BH$2)&lt;N($E4))," ",""))</f>
        <v/>
      </c>
      <c r="BI4" s="23">
        <f>IF(AND(COUNT($E4),N(BI$2)=N($E4)),$E4,IF(AND(COUNT($E4),N(BI$2)&gt;=N($G$2),N(BI$2)&lt;N($E4))," ",""))</f>
        <v/>
      </c>
      <c r="BJ4" s="23">
        <f>IF(AND(COUNT($E4),N(BJ$2)=N($E4)),$E4,IF(AND(COUNT($E4),N(BJ$2)&gt;=N($G$2),N(BJ$2)&lt;N($E4))," ",""))</f>
        <v/>
      </c>
      <c r="BK4" s="23">
        <f>IF(AND(COUNT($E4),N(BK$2)=N($E4)),$E4,IF(AND(COUNT($E4),N(BK$2)&gt;=N($G$2),N(BK$2)&lt;N($E4))," ",""))</f>
        <v/>
      </c>
      <c r="BL4" s="23">
        <f>IF(AND(COUNT($E4),N(BL$2)=N($E4)),$E4,IF(AND(COUNT($E4),N(BL$2)&gt;=N($G$2),N(BL$2)&lt;N($E4))," ",""))</f>
        <v/>
      </c>
      <c r="BM4" s="23">
        <f>IF(AND(COUNT($E4),N(BM$2)=N($E4)),$E4,IF(AND(COUNT($E4),N(BM$2)&gt;=N($G$2),N(BM$2)&lt;N($E4))," ",""))</f>
        <v/>
      </c>
      <c r="BN4" s="23">
        <f>IF(AND(COUNT($E4),N(BN$2)=N($E4)),$E4,IF(AND(COUNT($E4),N(BN$2)&gt;=N($G$2),N(BN$2)&lt;N($E4))," ",""))</f>
        <v/>
      </c>
      <c r="BO4" s="23">
        <f>IF(AND(COUNT($E4),N(BO$2)=N($E4)),$E4,IF(AND(COUNT($E4),N(BO$2)&gt;=N($G$2),N(BO$2)&lt;N($E4))," ",""))</f>
        <v/>
      </c>
      <c r="BP4" s="23">
        <f>IF(AND(COUNT($E4),N(BP$2)=N($E4)),$E4,IF(AND(COUNT($E4),N(BP$2)&gt;=N($G$2),N(BP$2)&lt;N($E4))," ",""))</f>
        <v/>
      </c>
      <c r="BQ4" s="23">
        <f>IF(AND(COUNT($E4),N(BQ$2)=N($E4)),$E4,IF(AND(COUNT($E4),N(BQ$2)&gt;=N($G$2),N(BQ$2)&lt;N($E4))," ",""))</f>
        <v/>
      </c>
      <c r="BR4" s="23">
        <f>IF(AND(COUNT($E4),N(BR$2)=N($E4)),$E4,IF(AND(COUNT($E4),N(BR$2)&gt;=N($G$2),N(BR$2)&lt;N($E4))," ",""))</f>
        <v/>
      </c>
      <c r="BS4" s="23">
        <f>IF(AND(COUNT($E4),N(BS$2)=N($E4)),$E4,IF(AND(COUNT($E4),N(BS$2)&gt;=N($G$2),N(BS$2)&lt;N($E4))," ",""))</f>
        <v/>
      </c>
    </row>
    <row r="5" ht="20" customHeight="1">
      <c r="A5" s="21" t="inlineStr">
        <is>
          <t>预估</t>
        </is>
      </c>
      <c r="B5" s="21" t="inlineStr">
        <is>
          <t>第一期</t>
        </is>
      </c>
      <c r="C5" s="22" t="inlineStr">
        <is>
          <t>一期零件下单采购</t>
        </is>
      </c>
      <c r="D5" s="23">
        <f>'时间节点计划表'!E3</f>
        <v/>
      </c>
      <c r="E5" s="23">
        <f>IF(COUNT('时间节点计划表'!F3),'时间节点计划表'!F3,"")</f>
        <v/>
      </c>
      <c r="F5" s="24" t="inlineStr"/>
      <c r="G5" s="25">
        <f>D5</f>
        <v/>
      </c>
      <c r="H5" s="26" t="n"/>
      <c r="I5" s="26" t="n"/>
      <c r="J5" s="26" t="n"/>
      <c r="K5" s="26" t="n"/>
      <c r="L5" s="27" t="n"/>
      <c r="M5" s="28" t="n"/>
      <c r="N5" s="28" t="n"/>
      <c r="O5" s="28" t="n"/>
      <c r="P5" s="28" t="n"/>
      <c r="Q5" s="28" t="n"/>
      <c r="R5" s="28" t="n"/>
      <c r="S5" s="28" t="n"/>
      <c r="T5" s="28" t="n"/>
      <c r="U5" s="28" t="n"/>
      <c r="V5" s="28" t="n"/>
      <c r="W5" s="28" t="n"/>
      <c r="X5" s="28" t="n"/>
      <c r="Y5" s="28" t="n"/>
      <c r="Z5" s="28" t="n"/>
      <c r="AA5" s="28" t="n"/>
      <c r="AB5" s="28" t="n"/>
      <c r="AC5" s="28" t="n"/>
      <c r="AD5" s="28" t="n"/>
      <c r="AE5" s="28" t="n"/>
      <c r="AF5" s="28" t="n"/>
      <c r="AG5" s="28" t="n"/>
      <c r="AH5" s="28" t="n"/>
      <c r="AI5" s="28" t="n"/>
      <c r="AJ5" s="28" t="n"/>
      <c r="AK5" s="28" t="n"/>
      <c r="AL5" s="28" t="n"/>
      <c r="AM5" s="28" t="n"/>
      <c r="AN5" s="28" t="n"/>
      <c r="AO5" s="28" t="n"/>
      <c r="AP5" s="28" t="n"/>
      <c r="AQ5" s="28" t="n"/>
      <c r="AR5" s="28" t="n"/>
      <c r="AS5" s="28" t="n"/>
      <c r="AT5" s="28" t="n"/>
      <c r="AU5" s="28" t="n"/>
      <c r="AV5" s="28" t="n"/>
      <c r="AW5" s="28" t="n"/>
      <c r="AX5" s="28" t="n"/>
      <c r="AY5" s="28" t="n"/>
      <c r="AZ5" s="28" t="n"/>
      <c r="BA5" s="28" t="n"/>
      <c r="BB5" s="28" t="n"/>
      <c r="BC5" s="28" t="n"/>
      <c r="BD5" s="28" t="n"/>
      <c r="BE5" s="28" t="n"/>
      <c r="BF5" s="28" t="n"/>
      <c r="BG5" s="28" t="n"/>
      <c r="BH5" s="28" t="n"/>
      <c r="BI5" s="28" t="n"/>
      <c r="BJ5" s="28" t="n"/>
      <c r="BK5" s="28" t="n"/>
      <c r="BL5" s="28" t="n"/>
      <c r="BM5" s="28" t="n"/>
      <c r="BN5" s="28" t="n"/>
      <c r="BO5" s="28" t="n"/>
      <c r="BP5" s="28" t="n"/>
      <c r="BQ5" s="28" t="n"/>
      <c r="BR5" s="28" t="n"/>
      <c r="BS5" s="28" t="n"/>
    </row>
    <row r="6" ht="20" customHeight="1">
      <c r="A6" s="29" t="inlineStr">
        <is>
          <t>实际</t>
        </is>
      </c>
      <c r="B6" s="29" t="inlineStr">
        <is>
          <t>第一期</t>
        </is>
      </c>
      <c r="C6" s="30" t="inlineStr">
        <is>
          <t>一期零件下单采购</t>
        </is>
      </c>
      <c r="D6" s="31">
        <f>'时间节点计划表'!E3</f>
        <v/>
      </c>
      <c r="E6" s="31">
        <f>IF(COUNT('时间节点计划表'!F3),'时间节点计划表'!F3,"")</f>
        <v/>
      </c>
      <c r="F6" s="32">
        <f>IF(OR(D6="",E6=""),"待填",E6-D6)</f>
        <v/>
      </c>
      <c r="G6" s="23">
        <f>IF(AND(COUNT($E6),N(G$2)=N($E6)),$E6,IF(AND(COUNT($E6),N(G$2)&gt;=N($G$2),N(G$2)&lt;N($E6))," ",""))</f>
        <v/>
      </c>
      <c r="H6" s="23">
        <f>IF(AND(COUNT($E6),N(H$2)=N($E6)),$E6,IF(AND(COUNT($E6),N(H$2)&gt;=N($G$2),N(H$2)&lt;N($E6))," ",""))</f>
        <v/>
      </c>
      <c r="I6" s="23">
        <f>IF(AND(COUNT($E6),N(I$2)=N($E6)),$E6,IF(AND(COUNT($E6),N(I$2)&gt;=N($G$2),N(I$2)&lt;N($E6))," ",""))</f>
        <v/>
      </c>
      <c r="J6" s="23">
        <f>IF(AND(COUNT($E6),N(J$2)=N($E6)),$E6,IF(AND(COUNT($E6),N(J$2)&gt;=N($G$2),N(J$2)&lt;N($E6))," ",""))</f>
        <v/>
      </c>
      <c r="K6" s="23">
        <f>IF(AND(COUNT($E6),N(K$2)=N($E6)),$E6,IF(AND(COUNT($E6),N(K$2)&gt;=N($G$2),N(K$2)&lt;N($E6))," ",""))</f>
        <v/>
      </c>
      <c r="L6" s="23">
        <f>IF(AND(COUNT($E6),N(L$2)=N($E6)),$E6,IF(AND(COUNT($E6),N(L$2)&gt;=N($G$2),N(L$2)&lt;N($E6))," ",""))</f>
        <v/>
      </c>
      <c r="M6" s="23">
        <f>IF(AND(COUNT($E6),N(M$2)=N($E6)),$E6,IF(AND(COUNT($E6),N(M$2)&gt;=N($G$2),N(M$2)&lt;N($E6))," ",""))</f>
        <v/>
      </c>
      <c r="N6" s="23">
        <f>IF(AND(COUNT($E6),N(N$2)=N($E6)),$E6,IF(AND(COUNT($E6),N(N$2)&gt;=N($G$2),N(N$2)&lt;N($E6))," ",""))</f>
        <v/>
      </c>
      <c r="O6" s="23">
        <f>IF(AND(COUNT($E6),N(O$2)=N($E6)),$E6,IF(AND(COUNT($E6),N(O$2)&gt;=N($G$2),N(O$2)&lt;N($E6))," ",""))</f>
        <v/>
      </c>
      <c r="P6" s="23">
        <f>IF(AND(COUNT($E6),N(P$2)=N($E6)),$E6,IF(AND(COUNT($E6),N(P$2)&gt;=N($G$2),N(P$2)&lt;N($E6))," ",""))</f>
        <v/>
      </c>
      <c r="Q6" s="23">
        <f>IF(AND(COUNT($E6),N(Q$2)=N($E6)),$E6,IF(AND(COUNT($E6),N(Q$2)&gt;=N($G$2),N(Q$2)&lt;N($E6))," ",""))</f>
        <v/>
      </c>
      <c r="R6" s="23">
        <f>IF(AND(COUNT($E6),N(R$2)=N($E6)),$E6,IF(AND(COUNT($E6),N(R$2)&gt;=N($G$2),N(R$2)&lt;N($E6))," ",""))</f>
        <v/>
      </c>
      <c r="S6" s="23">
        <f>IF(AND(COUNT($E6),N(S$2)=N($E6)),$E6,IF(AND(COUNT($E6),N(S$2)&gt;=N($G$2),N(S$2)&lt;N($E6))," ",""))</f>
        <v/>
      </c>
      <c r="T6" s="23">
        <f>IF(AND(COUNT($E6),N(T$2)=N($E6)),$E6,IF(AND(COUNT($E6),N(T$2)&gt;=N($G$2),N(T$2)&lt;N($E6))," ",""))</f>
        <v/>
      </c>
      <c r="U6" s="23">
        <f>IF(AND(COUNT($E6),N(U$2)=N($E6)),$E6,IF(AND(COUNT($E6),N(U$2)&gt;=N($G$2),N(U$2)&lt;N($E6))," ",""))</f>
        <v/>
      </c>
      <c r="V6" s="23">
        <f>IF(AND(COUNT($E6),N(V$2)=N($E6)),$E6,IF(AND(COUNT($E6),N(V$2)&gt;=N($G$2),N(V$2)&lt;N($E6))," ",""))</f>
        <v/>
      </c>
      <c r="W6" s="23">
        <f>IF(AND(COUNT($E6),N(W$2)=N($E6)),$E6,IF(AND(COUNT($E6),N(W$2)&gt;=N($G$2),N(W$2)&lt;N($E6))," ",""))</f>
        <v/>
      </c>
      <c r="X6" s="23">
        <f>IF(AND(COUNT($E6),N(X$2)=N($E6)),$E6,IF(AND(COUNT($E6),N(X$2)&gt;=N($G$2),N(X$2)&lt;N($E6))," ",""))</f>
        <v/>
      </c>
      <c r="Y6" s="23">
        <f>IF(AND(COUNT($E6),N(Y$2)=N($E6)),$E6,IF(AND(COUNT($E6),N(Y$2)&gt;=N($G$2),N(Y$2)&lt;N($E6))," ",""))</f>
        <v/>
      </c>
      <c r="Z6" s="23">
        <f>IF(AND(COUNT($E6),N(Z$2)=N($E6)),$E6,IF(AND(COUNT($E6),N(Z$2)&gt;=N($G$2),N(Z$2)&lt;N($E6))," ",""))</f>
        <v/>
      </c>
      <c r="AA6" s="23">
        <f>IF(AND(COUNT($E6),N(AA$2)=N($E6)),$E6,IF(AND(COUNT($E6),N(AA$2)&gt;=N($G$2),N(AA$2)&lt;N($E6))," ",""))</f>
        <v/>
      </c>
      <c r="AB6" s="23">
        <f>IF(AND(COUNT($E6),N(AB$2)=N($E6)),$E6,IF(AND(COUNT($E6),N(AB$2)&gt;=N($G$2),N(AB$2)&lt;N($E6))," ",""))</f>
        <v/>
      </c>
      <c r="AC6" s="23">
        <f>IF(AND(COUNT($E6),N(AC$2)=N($E6)),$E6,IF(AND(COUNT($E6),N(AC$2)&gt;=N($G$2),N(AC$2)&lt;N($E6))," ",""))</f>
        <v/>
      </c>
      <c r="AD6" s="23">
        <f>IF(AND(COUNT($E6),N(AD$2)=N($E6)),$E6,IF(AND(COUNT($E6),N(AD$2)&gt;=N($G$2),N(AD$2)&lt;N($E6))," ",""))</f>
        <v/>
      </c>
      <c r="AE6" s="23">
        <f>IF(AND(COUNT($E6),N(AE$2)=N($E6)),$E6,IF(AND(COUNT($E6),N(AE$2)&gt;=N($G$2),N(AE$2)&lt;N($E6))," ",""))</f>
        <v/>
      </c>
      <c r="AF6" s="23">
        <f>IF(AND(COUNT($E6),N(AF$2)=N($E6)),$E6,IF(AND(COUNT($E6),N(AF$2)&gt;=N($G$2),N(AF$2)&lt;N($E6))," ",""))</f>
        <v/>
      </c>
      <c r="AG6" s="23">
        <f>IF(AND(COUNT($E6),N(AG$2)=N($E6)),$E6,IF(AND(COUNT($E6),N(AG$2)&gt;=N($G$2),N(AG$2)&lt;N($E6))," ",""))</f>
        <v/>
      </c>
      <c r="AH6" s="23">
        <f>IF(AND(COUNT($E6),N(AH$2)=N($E6)),$E6,IF(AND(COUNT($E6),N(AH$2)&gt;=N($G$2),N(AH$2)&lt;N($E6))," ",""))</f>
        <v/>
      </c>
      <c r="AI6" s="23">
        <f>IF(AND(COUNT($E6),N(AI$2)=N($E6)),$E6,IF(AND(COUNT($E6),N(AI$2)&gt;=N($G$2),N(AI$2)&lt;N($E6))," ",""))</f>
        <v/>
      </c>
      <c r="AJ6" s="23">
        <f>IF(AND(COUNT($E6),N(AJ$2)=N($E6)),$E6,IF(AND(COUNT($E6),N(AJ$2)&gt;=N($G$2),N(AJ$2)&lt;N($E6))," ",""))</f>
        <v/>
      </c>
      <c r="AK6" s="23">
        <f>IF(AND(COUNT($E6),N(AK$2)=N($E6)),$E6,IF(AND(COUNT($E6),N(AK$2)&gt;=N($G$2),N(AK$2)&lt;N($E6))," ",""))</f>
        <v/>
      </c>
      <c r="AL6" s="23">
        <f>IF(AND(COUNT($E6),N(AL$2)=N($E6)),$E6,IF(AND(COUNT($E6),N(AL$2)&gt;=N($G$2),N(AL$2)&lt;N($E6))," ",""))</f>
        <v/>
      </c>
      <c r="AM6" s="23">
        <f>IF(AND(COUNT($E6),N(AM$2)=N($E6)),$E6,IF(AND(COUNT($E6),N(AM$2)&gt;=N($G$2),N(AM$2)&lt;N($E6))," ",""))</f>
        <v/>
      </c>
      <c r="AN6" s="23">
        <f>IF(AND(COUNT($E6),N(AN$2)=N($E6)),$E6,IF(AND(COUNT($E6),N(AN$2)&gt;=N($G$2),N(AN$2)&lt;N($E6))," ",""))</f>
        <v/>
      </c>
      <c r="AO6" s="23">
        <f>IF(AND(COUNT($E6),N(AO$2)=N($E6)),$E6,IF(AND(COUNT($E6),N(AO$2)&gt;=N($G$2),N(AO$2)&lt;N($E6))," ",""))</f>
        <v/>
      </c>
      <c r="AP6" s="23">
        <f>IF(AND(COUNT($E6),N(AP$2)=N($E6)),$E6,IF(AND(COUNT($E6),N(AP$2)&gt;=N($G$2),N(AP$2)&lt;N($E6))," ",""))</f>
        <v/>
      </c>
      <c r="AQ6" s="23">
        <f>IF(AND(COUNT($E6),N(AQ$2)=N($E6)),$E6,IF(AND(COUNT($E6),N(AQ$2)&gt;=N($G$2),N(AQ$2)&lt;N($E6))," ",""))</f>
        <v/>
      </c>
      <c r="AR6" s="23">
        <f>IF(AND(COUNT($E6),N(AR$2)=N($E6)),$E6,IF(AND(COUNT($E6),N(AR$2)&gt;=N($G$2),N(AR$2)&lt;N($E6))," ",""))</f>
        <v/>
      </c>
      <c r="AS6" s="23">
        <f>IF(AND(COUNT($E6),N(AS$2)=N($E6)),$E6,IF(AND(COUNT($E6),N(AS$2)&gt;=N($G$2),N(AS$2)&lt;N($E6))," ",""))</f>
        <v/>
      </c>
      <c r="AT6" s="23">
        <f>IF(AND(COUNT($E6),N(AT$2)=N($E6)),$E6,IF(AND(COUNT($E6),N(AT$2)&gt;=N($G$2),N(AT$2)&lt;N($E6))," ",""))</f>
        <v/>
      </c>
      <c r="AU6" s="23">
        <f>IF(AND(COUNT($E6),N(AU$2)=N($E6)),$E6,IF(AND(COUNT($E6),N(AU$2)&gt;=N($G$2),N(AU$2)&lt;N($E6))," ",""))</f>
        <v/>
      </c>
      <c r="AV6" s="23">
        <f>IF(AND(COUNT($E6),N(AV$2)=N($E6)),$E6,IF(AND(COUNT($E6),N(AV$2)&gt;=N($G$2),N(AV$2)&lt;N($E6))," ",""))</f>
        <v/>
      </c>
      <c r="AW6" s="23">
        <f>IF(AND(COUNT($E6),N(AW$2)=N($E6)),$E6,IF(AND(COUNT($E6),N(AW$2)&gt;=N($G$2),N(AW$2)&lt;N($E6))," ",""))</f>
        <v/>
      </c>
      <c r="AX6" s="23">
        <f>IF(AND(COUNT($E6),N(AX$2)=N($E6)),$E6,IF(AND(COUNT($E6),N(AX$2)&gt;=N($G$2),N(AX$2)&lt;N($E6))," ",""))</f>
        <v/>
      </c>
      <c r="AY6" s="23">
        <f>IF(AND(COUNT($E6),N(AY$2)=N($E6)),$E6,IF(AND(COUNT($E6),N(AY$2)&gt;=N($G$2),N(AY$2)&lt;N($E6))," ",""))</f>
        <v/>
      </c>
      <c r="AZ6" s="23">
        <f>IF(AND(COUNT($E6),N(AZ$2)=N($E6)),$E6,IF(AND(COUNT($E6),N(AZ$2)&gt;=N($G$2),N(AZ$2)&lt;N($E6))," ",""))</f>
        <v/>
      </c>
      <c r="BA6" s="23">
        <f>IF(AND(COUNT($E6),N(BA$2)=N($E6)),$E6,IF(AND(COUNT($E6),N(BA$2)&gt;=N($G$2),N(BA$2)&lt;N($E6))," ",""))</f>
        <v/>
      </c>
      <c r="BB6" s="23">
        <f>IF(AND(COUNT($E6),N(BB$2)=N($E6)),$E6,IF(AND(COUNT($E6),N(BB$2)&gt;=N($G$2),N(BB$2)&lt;N($E6))," ",""))</f>
        <v/>
      </c>
      <c r="BC6" s="23">
        <f>IF(AND(COUNT($E6),N(BC$2)=N($E6)),$E6,IF(AND(COUNT($E6),N(BC$2)&gt;=N($G$2),N(BC$2)&lt;N($E6))," ",""))</f>
        <v/>
      </c>
      <c r="BD6" s="23">
        <f>IF(AND(COUNT($E6),N(BD$2)=N($E6)),$E6,IF(AND(COUNT($E6),N(BD$2)&gt;=N($G$2),N(BD$2)&lt;N($E6))," ",""))</f>
        <v/>
      </c>
      <c r="BE6" s="23">
        <f>IF(AND(COUNT($E6),N(BE$2)=N($E6)),$E6,IF(AND(COUNT($E6),N(BE$2)&gt;=N($G$2),N(BE$2)&lt;N($E6))," ",""))</f>
        <v/>
      </c>
      <c r="BF6" s="23">
        <f>IF(AND(COUNT($E6),N(BF$2)=N($E6)),$E6,IF(AND(COUNT($E6),N(BF$2)&gt;=N($G$2),N(BF$2)&lt;N($E6))," ",""))</f>
        <v/>
      </c>
      <c r="BG6" s="23">
        <f>IF(AND(COUNT($E6),N(BG$2)=N($E6)),$E6,IF(AND(COUNT($E6),N(BG$2)&gt;=N($G$2),N(BG$2)&lt;N($E6))," ",""))</f>
        <v/>
      </c>
      <c r="BH6" s="23">
        <f>IF(AND(COUNT($E6),N(BH$2)=N($E6)),$E6,IF(AND(COUNT($E6),N(BH$2)&gt;=N($G$2),N(BH$2)&lt;N($E6))," ",""))</f>
        <v/>
      </c>
      <c r="BI6" s="23">
        <f>IF(AND(COUNT($E6),N(BI$2)=N($E6)),$E6,IF(AND(COUNT($E6),N(BI$2)&gt;=N($G$2),N(BI$2)&lt;N($E6))," ",""))</f>
        <v/>
      </c>
      <c r="BJ6" s="23">
        <f>IF(AND(COUNT($E6),N(BJ$2)=N($E6)),$E6,IF(AND(COUNT($E6),N(BJ$2)&gt;=N($G$2),N(BJ$2)&lt;N($E6))," ",""))</f>
        <v/>
      </c>
      <c r="BK6" s="23">
        <f>IF(AND(COUNT($E6),N(BK$2)=N($E6)),$E6,IF(AND(COUNT($E6),N(BK$2)&gt;=N($G$2),N(BK$2)&lt;N($E6))," ",""))</f>
        <v/>
      </c>
      <c r="BL6" s="23">
        <f>IF(AND(COUNT($E6),N(BL$2)=N($E6)),$E6,IF(AND(COUNT($E6),N(BL$2)&gt;=N($G$2),N(BL$2)&lt;N($E6))," ",""))</f>
        <v/>
      </c>
      <c r="BM6" s="23">
        <f>IF(AND(COUNT($E6),N(BM$2)=N($E6)),$E6,IF(AND(COUNT($E6),N(BM$2)&gt;=N($G$2),N(BM$2)&lt;N($E6))," ",""))</f>
        <v/>
      </c>
      <c r="BN6" s="23">
        <f>IF(AND(COUNT($E6),N(BN$2)=N($E6)),$E6,IF(AND(COUNT($E6),N(BN$2)&gt;=N($G$2),N(BN$2)&lt;N($E6))," ",""))</f>
        <v/>
      </c>
      <c r="BO6" s="23">
        <f>IF(AND(COUNT($E6),N(BO$2)=N($E6)),$E6,IF(AND(COUNT($E6),N(BO$2)&gt;=N($G$2),N(BO$2)&lt;N($E6))," ",""))</f>
        <v/>
      </c>
      <c r="BP6" s="23">
        <f>IF(AND(COUNT($E6),N(BP$2)=N($E6)),$E6,IF(AND(COUNT($E6),N(BP$2)&gt;=N($G$2),N(BP$2)&lt;N($E6))," ",""))</f>
        <v/>
      </c>
      <c r="BQ6" s="23">
        <f>IF(AND(COUNT($E6),N(BQ$2)=N($E6)),$E6,IF(AND(COUNT($E6),N(BQ$2)&gt;=N($G$2),N(BQ$2)&lt;N($E6))," ",""))</f>
        <v/>
      </c>
      <c r="BR6" s="23">
        <f>IF(AND(COUNT($E6),N(BR$2)=N($E6)),$E6,IF(AND(COUNT($E6),N(BR$2)&gt;=N($G$2),N(BR$2)&lt;N($E6))," ",""))</f>
        <v/>
      </c>
      <c r="BS6" s="23">
        <f>IF(AND(COUNT($E6),N(BS$2)=N($E6)),$E6,IF(AND(COUNT($E6),N(BS$2)&gt;=N($G$2),N(BS$2)&lt;N($E6))," ",""))</f>
        <v/>
      </c>
    </row>
    <row r="7" ht="20" customHeight="1">
      <c r="A7" s="21" t="inlineStr">
        <is>
          <t>预估</t>
        </is>
      </c>
      <c r="B7" s="21" t="inlineStr">
        <is>
          <t>第一期</t>
        </is>
      </c>
      <c r="C7" s="22" t="inlineStr">
        <is>
          <t>一期标准件下单采购</t>
        </is>
      </c>
      <c r="D7" s="23">
        <f>'时间节点计划表'!E4</f>
        <v/>
      </c>
      <c r="E7" s="23">
        <f>IF(COUNT('时间节点计划表'!F4),'时间节点计划表'!F4,"")</f>
        <v/>
      </c>
      <c r="F7" s="24" t="inlineStr"/>
      <c r="G7" s="25">
        <f>D7</f>
        <v/>
      </c>
      <c r="H7" s="26" t="n"/>
      <c r="I7" s="26" t="n"/>
      <c r="J7" s="26" t="n"/>
      <c r="K7" s="26" t="n"/>
      <c r="L7" s="27" t="n"/>
      <c r="M7" s="28" t="n"/>
      <c r="N7" s="28" t="n"/>
      <c r="O7" s="28" t="n"/>
      <c r="P7" s="28" t="n"/>
      <c r="Q7" s="28" t="n"/>
      <c r="R7" s="28" t="n"/>
      <c r="S7" s="28" t="n"/>
      <c r="T7" s="28" t="n"/>
      <c r="U7" s="28" t="n"/>
      <c r="V7" s="28" t="n"/>
      <c r="W7" s="28" t="n"/>
      <c r="X7" s="28" t="n"/>
      <c r="Y7" s="28" t="n"/>
      <c r="Z7" s="28" t="n"/>
      <c r="AA7" s="28" t="n"/>
      <c r="AB7" s="28" t="n"/>
      <c r="AC7" s="28" t="n"/>
      <c r="AD7" s="28" t="n"/>
      <c r="AE7" s="28" t="n"/>
      <c r="AF7" s="28" t="n"/>
      <c r="AG7" s="28" t="n"/>
      <c r="AH7" s="28" t="n"/>
      <c r="AI7" s="28" t="n"/>
      <c r="AJ7" s="28" t="n"/>
      <c r="AK7" s="28" t="n"/>
      <c r="AL7" s="28" t="n"/>
      <c r="AM7" s="28" t="n"/>
      <c r="AN7" s="28" t="n"/>
      <c r="AO7" s="28" t="n"/>
      <c r="AP7" s="28" t="n"/>
      <c r="AQ7" s="28" t="n"/>
      <c r="AR7" s="28" t="n"/>
      <c r="AS7" s="28" t="n"/>
      <c r="AT7" s="28" t="n"/>
      <c r="AU7" s="28" t="n"/>
      <c r="AV7" s="28" t="n"/>
      <c r="AW7" s="28" t="n"/>
      <c r="AX7" s="28" t="n"/>
      <c r="AY7" s="28" t="n"/>
      <c r="AZ7" s="28" t="n"/>
      <c r="BA7" s="28" t="n"/>
      <c r="BB7" s="28" t="n"/>
      <c r="BC7" s="28" t="n"/>
      <c r="BD7" s="28" t="n"/>
      <c r="BE7" s="28" t="n"/>
      <c r="BF7" s="28" t="n"/>
      <c r="BG7" s="28" t="n"/>
      <c r="BH7" s="28" t="n"/>
      <c r="BI7" s="28" t="n"/>
      <c r="BJ7" s="28" t="n"/>
      <c r="BK7" s="28" t="n"/>
      <c r="BL7" s="28" t="n"/>
      <c r="BM7" s="28" t="n"/>
      <c r="BN7" s="28" t="n"/>
      <c r="BO7" s="28" t="n"/>
      <c r="BP7" s="28" t="n"/>
      <c r="BQ7" s="28" t="n"/>
      <c r="BR7" s="28" t="n"/>
      <c r="BS7" s="28" t="n"/>
    </row>
    <row r="8" ht="20" customHeight="1">
      <c r="A8" s="29" t="inlineStr">
        <is>
          <t>实际</t>
        </is>
      </c>
      <c r="B8" s="29" t="inlineStr">
        <is>
          <t>第一期</t>
        </is>
      </c>
      <c r="C8" s="30" t="inlineStr">
        <is>
          <t>一期标准件下单采购</t>
        </is>
      </c>
      <c r="D8" s="31">
        <f>'时间节点计划表'!E4</f>
        <v/>
      </c>
      <c r="E8" s="31">
        <f>IF(COUNT('时间节点计划表'!F4),'时间节点计划表'!F4,"")</f>
        <v/>
      </c>
      <c r="F8" s="32">
        <f>IF(OR(D8="",E8=""),"待填",E8-D8)</f>
        <v/>
      </c>
      <c r="G8" s="23">
        <f>IF(AND(COUNT($E8),N(G$2)=N($E8)),$E8,IF(AND(COUNT($E8),N(G$2)&gt;=N($G$2),N(G$2)&lt;N($E8))," ",""))</f>
        <v/>
      </c>
      <c r="H8" s="23">
        <f>IF(AND(COUNT($E8),N(H$2)=N($E8)),$E8,IF(AND(COUNT($E8),N(H$2)&gt;=N($G$2),N(H$2)&lt;N($E8))," ",""))</f>
        <v/>
      </c>
      <c r="I8" s="23">
        <f>IF(AND(COUNT($E8),N(I$2)=N($E8)),$E8,IF(AND(COUNT($E8),N(I$2)&gt;=N($G$2),N(I$2)&lt;N($E8))," ",""))</f>
        <v/>
      </c>
      <c r="J8" s="23">
        <f>IF(AND(COUNT($E8),N(J$2)=N($E8)),$E8,IF(AND(COUNT($E8),N(J$2)&gt;=N($G$2),N(J$2)&lt;N($E8))," ",""))</f>
        <v/>
      </c>
      <c r="K8" s="23">
        <f>IF(AND(COUNT($E8),N(K$2)=N($E8)),$E8,IF(AND(COUNT($E8),N(K$2)&gt;=N($G$2),N(K$2)&lt;N($E8))," ",""))</f>
        <v/>
      </c>
      <c r="L8" s="23">
        <f>IF(AND(COUNT($E8),N(L$2)=N($E8)),$E8,IF(AND(COUNT($E8),N(L$2)&gt;=N($G$2),N(L$2)&lt;N($E8))," ",""))</f>
        <v/>
      </c>
      <c r="M8" s="23">
        <f>IF(AND(COUNT($E8),N(M$2)=N($E8)),$E8,IF(AND(COUNT($E8),N(M$2)&gt;=N($G$2),N(M$2)&lt;N($E8))," ",""))</f>
        <v/>
      </c>
      <c r="N8" s="23">
        <f>IF(AND(COUNT($E8),N(N$2)=N($E8)),$E8,IF(AND(COUNT($E8),N(N$2)&gt;=N($G$2),N(N$2)&lt;N($E8))," ",""))</f>
        <v/>
      </c>
      <c r="O8" s="23">
        <f>IF(AND(COUNT($E8),N(O$2)=N($E8)),$E8,IF(AND(COUNT($E8),N(O$2)&gt;=N($G$2),N(O$2)&lt;N($E8))," ",""))</f>
        <v/>
      </c>
      <c r="P8" s="23">
        <f>IF(AND(COUNT($E8),N(P$2)=N($E8)),$E8,IF(AND(COUNT($E8),N(P$2)&gt;=N($G$2),N(P$2)&lt;N($E8))," ",""))</f>
        <v/>
      </c>
      <c r="Q8" s="23">
        <f>IF(AND(COUNT($E8),N(Q$2)=N($E8)),$E8,IF(AND(COUNT($E8),N(Q$2)&gt;=N($G$2),N(Q$2)&lt;N($E8))," ",""))</f>
        <v/>
      </c>
      <c r="R8" s="23">
        <f>IF(AND(COUNT($E8),N(R$2)=N($E8)),$E8,IF(AND(COUNT($E8),N(R$2)&gt;=N($G$2),N(R$2)&lt;N($E8))," ",""))</f>
        <v/>
      </c>
      <c r="S8" s="23">
        <f>IF(AND(COUNT($E8),N(S$2)=N($E8)),$E8,IF(AND(COUNT($E8),N(S$2)&gt;=N($G$2),N(S$2)&lt;N($E8))," ",""))</f>
        <v/>
      </c>
      <c r="T8" s="23">
        <f>IF(AND(COUNT($E8),N(T$2)=N($E8)),$E8,IF(AND(COUNT($E8),N(T$2)&gt;=N($G$2),N(T$2)&lt;N($E8))," ",""))</f>
        <v/>
      </c>
      <c r="U8" s="23">
        <f>IF(AND(COUNT($E8),N(U$2)=N($E8)),$E8,IF(AND(COUNT($E8),N(U$2)&gt;=N($G$2),N(U$2)&lt;N($E8))," ",""))</f>
        <v/>
      </c>
      <c r="V8" s="23">
        <f>IF(AND(COUNT($E8),N(V$2)=N($E8)),$E8,IF(AND(COUNT($E8),N(V$2)&gt;=N($G$2),N(V$2)&lt;N($E8))," ",""))</f>
        <v/>
      </c>
      <c r="W8" s="23">
        <f>IF(AND(COUNT($E8),N(W$2)=N($E8)),$E8,IF(AND(COUNT($E8),N(W$2)&gt;=N($G$2),N(W$2)&lt;N($E8))," ",""))</f>
        <v/>
      </c>
      <c r="X8" s="23">
        <f>IF(AND(COUNT($E8),N(X$2)=N($E8)),$E8,IF(AND(COUNT($E8),N(X$2)&gt;=N($G$2),N(X$2)&lt;N($E8))," ",""))</f>
        <v/>
      </c>
      <c r="Y8" s="23">
        <f>IF(AND(COUNT($E8),N(Y$2)=N($E8)),$E8,IF(AND(COUNT($E8),N(Y$2)&gt;=N($G$2),N(Y$2)&lt;N($E8))," ",""))</f>
        <v/>
      </c>
      <c r="Z8" s="23">
        <f>IF(AND(COUNT($E8),N(Z$2)=N($E8)),$E8,IF(AND(COUNT($E8),N(Z$2)&gt;=N($G$2),N(Z$2)&lt;N($E8))," ",""))</f>
        <v/>
      </c>
      <c r="AA8" s="23">
        <f>IF(AND(COUNT($E8),N(AA$2)=N($E8)),$E8,IF(AND(COUNT($E8),N(AA$2)&gt;=N($G$2),N(AA$2)&lt;N($E8))," ",""))</f>
        <v/>
      </c>
      <c r="AB8" s="23">
        <f>IF(AND(COUNT($E8),N(AB$2)=N($E8)),$E8,IF(AND(COUNT($E8),N(AB$2)&gt;=N($G$2),N(AB$2)&lt;N($E8))," ",""))</f>
        <v/>
      </c>
      <c r="AC8" s="23">
        <f>IF(AND(COUNT($E8),N(AC$2)=N($E8)),$E8,IF(AND(COUNT($E8),N(AC$2)&gt;=N($G$2),N(AC$2)&lt;N($E8))," ",""))</f>
        <v/>
      </c>
      <c r="AD8" s="23">
        <f>IF(AND(COUNT($E8),N(AD$2)=N($E8)),$E8,IF(AND(COUNT($E8),N(AD$2)&gt;=N($G$2),N(AD$2)&lt;N($E8))," ",""))</f>
        <v/>
      </c>
      <c r="AE8" s="23">
        <f>IF(AND(COUNT($E8),N(AE$2)=N($E8)),$E8,IF(AND(COUNT($E8),N(AE$2)&gt;=N($G$2),N(AE$2)&lt;N($E8))," ",""))</f>
        <v/>
      </c>
      <c r="AF8" s="23">
        <f>IF(AND(COUNT($E8),N(AF$2)=N($E8)),$E8,IF(AND(COUNT($E8),N(AF$2)&gt;=N($G$2),N(AF$2)&lt;N($E8))," ",""))</f>
        <v/>
      </c>
      <c r="AG8" s="23">
        <f>IF(AND(COUNT($E8),N(AG$2)=N($E8)),$E8,IF(AND(COUNT($E8),N(AG$2)&gt;=N($G$2),N(AG$2)&lt;N($E8))," ",""))</f>
        <v/>
      </c>
      <c r="AH8" s="23">
        <f>IF(AND(COUNT($E8),N(AH$2)=N($E8)),$E8,IF(AND(COUNT($E8),N(AH$2)&gt;=N($G$2),N(AH$2)&lt;N($E8))," ",""))</f>
        <v/>
      </c>
      <c r="AI8" s="23">
        <f>IF(AND(COUNT($E8),N(AI$2)=N($E8)),$E8,IF(AND(COUNT($E8),N(AI$2)&gt;=N($G$2),N(AI$2)&lt;N($E8))," ",""))</f>
        <v/>
      </c>
      <c r="AJ8" s="23">
        <f>IF(AND(COUNT($E8),N(AJ$2)=N($E8)),$E8,IF(AND(COUNT($E8),N(AJ$2)&gt;=N($G$2),N(AJ$2)&lt;N($E8))," ",""))</f>
        <v/>
      </c>
      <c r="AK8" s="23">
        <f>IF(AND(COUNT($E8),N(AK$2)=N($E8)),$E8,IF(AND(COUNT($E8),N(AK$2)&gt;=N($G$2),N(AK$2)&lt;N($E8))," ",""))</f>
        <v/>
      </c>
      <c r="AL8" s="23">
        <f>IF(AND(COUNT($E8),N(AL$2)=N($E8)),$E8,IF(AND(COUNT($E8),N(AL$2)&gt;=N($G$2),N(AL$2)&lt;N($E8))," ",""))</f>
        <v/>
      </c>
      <c r="AM8" s="23">
        <f>IF(AND(COUNT($E8),N(AM$2)=N($E8)),$E8,IF(AND(COUNT($E8),N(AM$2)&gt;=N($G$2),N(AM$2)&lt;N($E8))," ",""))</f>
        <v/>
      </c>
      <c r="AN8" s="23">
        <f>IF(AND(COUNT($E8),N(AN$2)=N($E8)),$E8,IF(AND(COUNT($E8),N(AN$2)&gt;=N($G$2),N(AN$2)&lt;N($E8))," ",""))</f>
        <v/>
      </c>
      <c r="AO8" s="23">
        <f>IF(AND(COUNT($E8),N(AO$2)=N($E8)),$E8,IF(AND(COUNT($E8),N(AO$2)&gt;=N($G$2),N(AO$2)&lt;N($E8))," ",""))</f>
        <v/>
      </c>
      <c r="AP8" s="23">
        <f>IF(AND(COUNT($E8),N(AP$2)=N($E8)),$E8,IF(AND(COUNT($E8),N(AP$2)&gt;=N($G$2),N(AP$2)&lt;N($E8))," ",""))</f>
        <v/>
      </c>
      <c r="AQ8" s="23">
        <f>IF(AND(COUNT($E8),N(AQ$2)=N($E8)),$E8,IF(AND(COUNT($E8),N(AQ$2)&gt;=N($G$2),N(AQ$2)&lt;N($E8))," ",""))</f>
        <v/>
      </c>
      <c r="AR8" s="23">
        <f>IF(AND(COUNT($E8),N(AR$2)=N($E8)),$E8,IF(AND(COUNT($E8),N(AR$2)&gt;=N($G$2),N(AR$2)&lt;N($E8))," ",""))</f>
        <v/>
      </c>
      <c r="AS8" s="23">
        <f>IF(AND(COUNT($E8),N(AS$2)=N($E8)),$E8,IF(AND(COUNT($E8),N(AS$2)&gt;=N($G$2),N(AS$2)&lt;N($E8))," ",""))</f>
        <v/>
      </c>
      <c r="AT8" s="23">
        <f>IF(AND(COUNT($E8),N(AT$2)=N($E8)),$E8,IF(AND(COUNT($E8),N(AT$2)&gt;=N($G$2),N(AT$2)&lt;N($E8))," ",""))</f>
        <v/>
      </c>
      <c r="AU8" s="23">
        <f>IF(AND(COUNT($E8),N(AU$2)=N($E8)),$E8,IF(AND(COUNT($E8),N(AU$2)&gt;=N($G$2),N(AU$2)&lt;N($E8))," ",""))</f>
        <v/>
      </c>
      <c r="AV8" s="23">
        <f>IF(AND(COUNT($E8),N(AV$2)=N($E8)),$E8,IF(AND(COUNT($E8),N(AV$2)&gt;=N($G$2),N(AV$2)&lt;N($E8))," ",""))</f>
        <v/>
      </c>
      <c r="AW8" s="23">
        <f>IF(AND(COUNT($E8),N(AW$2)=N($E8)),$E8,IF(AND(COUNT($E8),N(AW$2)&gt;=N($G$2),N(AW$2)&lt;N($E8))," ",""))</f>
        <v/>
      </c>
      <c r="AX8" s="23">
        <f>IF(AND(COUNT($E8),N(AX$2)=N($E8)),$E8,IF(AND(COUNT($E8),N(AX$2)&gt;=N($G$2),N(AX$2)&lt;N($E8))," ",""))</f>
        <v/>
      </c>
      <c r="AY8" s="23">
        <f>IF(AND(COUNT($E8),N(AY$2)=N($E8)),$E8,IF(AND(COUNT($E8),N(AY$2)&gt;=N($G$2),N(AY$2)&lt;N($E8))," ",""))</f>
        <v/>
      </c>
      <c r="AZ8" s="23">
        <f>IF(AND(COUNT($E8),N(AZ$2)=N($E8)),$E8,IF(AND(COUNT($E8),N(AZ$2)&gt;=N($G$2),N(AZ$2)&lt;N($E8))," ",""))</f>
        <v/>
      </c>
      <c r="BA8" s="23">
        <f>IF(AND(COUNT($E8),N(BA$2)=N($E8)),$E8,IF(AND(COUNT($E8),N(BA$2)&gt;=N($G$2),N(BA$2)&lt;N($E8))," ",""))</f>
        <v/>
      </c>
      <c r="BB8" s="23">
        <f>IF(AND(COUNT($E8),N(BB$2)=N($E8)),$E8,IF(AND(COUNT($E8),N(BB$2)&gt;=N($G$2),N(BB$2)&lt;N($E8))," ",""))</f>
        <v/>
      </c>
      <c r="BC8" s="23">
        <f>IF(AND(COUNT($E8),N(BC$2)=N($E8)),$E8,IF(AND(COUNT($E8),N(BC$2)&gt;=N($G$2),N(BC$2)&lt;N($E8))," ",""))</f>
        <v/>
      </c>
      <c r="BD8" s="23">
        <f>IF(AND(COUNT($E8),N(BD$2)=N($E8)),$E8,IF(AND(COUNT($E8),N(BD$2)&gt;=N($G$2),N(BD$2)&lt;N($E8))," ",""))</f>
        <v/>
      </c>
      <c r="BE8" s="23">
        <f>IF(AND(COUNT($E8),N(BE$2)=N($E8)),$E8,IF(AND(COUNT($E8),N(BE$2)&gt;=N($G$2),N(BE$2)&lt;N($E8))," ",""))</f>
        <v/>
      </c>
      <c r="BF8" s="23">
        <f>IF(AND(COUNT($E8),N(BF$2)=N($E8)),$E8,IF(AND(COUNT($E8),N(BF$2)&gt;=N($G$2),N(BF$2)&lt;N($E8))," ",""))</f>
        <v/>
      </c>
      <c r="BG8" s="23">
        <f>IF(AND(COUNT($E8),N(BG$2)=N($E8)),$E8,IF(AND(COUNT($E8),N(BG$2)&gt;=N($G$2),N(BG$2)&lt;N($E8))," ",""))</f>
        <v/>
      </c>
      <c r="BH8" s="23">
        <f>IF(AND(COUNT($E8),N(BH$2)=N($E8)),$E8,IF(AND(COUNT($E8),N(BH$2)&gt;=N($G$2),N(BH$2)&lt;N($E8))," ",""))</f>
        <v/>
      </c>
      <c r="BI8" s="23">
        <f>IF(AND(COUNT($E8),N(BI$2)=N($E8)),$E8,IF(AND(COUNT($E8),N(BI$2)&gt;=N($G$2),N(BI$2)&lt;N($E8))," ",""))</f>
        <v/>
      </c>
      <c r="BJ8" s="23">
        <f>IF(AND(COUNT($E8),N(BJ$2)=N($E8)),$E8,IF(AND(COUNT($E8),N(BJ$2)&gt;=N($G$2),N(BJ$2)&lt;N($E8))," ",""))</f>
        <v/>
      </c>
      <c r="BK8" s="23">
        <f>IF(AND(COUNT($E8),N(BK$2)=N($E8)),$E8,IF(AND(COUNT($E8),N(BK$2)&gt;=N($G$2),N(BK$2)&lt;N($E8))," ",""))</f>
        <v/>
      </c>
      <c r="BL8" s="23">
        <f>IF(AND(COUNT($E8),N(BL$2)=N($E8)),$E8,IF(AND(COUNT($E8),N(BL$2)&gt;=N($G$2),N(BL$2)&lt;N($E8))," ",""))</f>
        <v/>
      </c>
      <c r="BM8" s="23">
        <f>IF(AND(COUNT($E8),N(BM$2)=N($E8)),$E8,IF(AND(COUNT($E8),N(BM$2)&gt;=N($G$2),N(BM$2)&lt;N($E8))," ",""))</f>
        <v/>
      </c>
      <c r="BN8" s="23">
        <f>IF(AND(COUNT($E8),N(BN$2)=N($E8)),$E8,IF(AND(COUNT($E8),N(BN$2)&gt;=N($G$2),N(BN$2)&lt;N($E8))," ",""))</f>
        <v/>
      </c>
      <c r="BO8" s="23">
        <f>IF(AND(COUNT($E8),N(BO$2)=N($E8)),$E8,IF(AND(COUNT($E8),N(BO$2)&gt;=N($G$2),N(BO$2)&lt;N($E8))," ",""))</f>
        <v/>
      </c>
      <c r="BP8" s="23">
        <f>IF(AND(COUNT($E8),N(BP$2)=N($E8)),$E8,IF(AND(COUNT($E8),N(BP$2)&gt;=N($G$2),N(BP$2)&lt;N($E8))," ",""))</f>
        <v/>
      </c>
      <c r="BQ8" s="23">
        <f>IF(AND(COUNT($E8),N(BQ$2)=N($E8)),$E8,IF(AND(COUNT($E8),N(BQ$2)&gt;=N($G$2),N(BQ$2)&lt;N($E8))," ",""))</f>
        <v/>
      </c>
      <c r="BR8" s="23">
        <f>IF(AND(COUNT($E8),N(BR$2)=N($E8)),$E8,IF(AND(COUNT($E8),N(BR$2)&gt;=N($G$2),N(BR$2)&lt;N($E8))," ",""))</f>
        <v/>
      </c>
      <c r="BS8" s="23">
        <f>IF(AND(COUNT($E8),N(BS$2)=N($E8)),$E8,IF(AND(COUNT($E8),N(BS$2)&gt;=N($G$2),N(BS$2)&lt;N($E8))," ",""))</f>
        <v/>
      </c>
    </row>
    <row r="9" ht="20" customHeight="1">
      <c r="A9" s="21" t="inlineStr">
        <is>
          <t>预估</t>
        </is>
      </c>
      <c r="B9" s="21" t="inlineStr">
        <is>
          <t>第一期</t>
        </is>
      </c>
      <c r="C9" s="22" t="inlineStr">
        <is>
          <t>装配线布局完成</t>
        </is>
      </c>
      <c r="D9" s="23">
        <f>'时间节点计划表'!E5</f>
        <v/>
      </c>
      <c r="E9" s="23">
        <f>IF(COUNT('时间节点计划表'!F5),'时间节点计划表'!F5,"")</f>
        <v/>
      </c>
      <c r="F9" s="24" t="inlineStr"/>
      <c r="G9" s="25">
        <f>D9</f>
        <v/>
      </c>
      <c r="H9" s="26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7" t="n"/>
      <c r="AH9" s="28" t="n"/>
      <c r="AI9" s="28" t="n"/>
      <c r="AJ9" s="28" t="n"/>
      <c r="AK9" s="28" t="n"/>
      <c r="AL9" s="28" t="n"/>
      <c r="AM9" s="28" t="n"/>
      <c r="AN9" s="28" t="n"/>
      <c r="AO9" s="28" t="n"/>
      <c r="AP9" s="28" t="n"/>
      <c r="AQ9" s="28" t="n"/>
      <c r="AR9" s="28" t="n"/>
      <c r="AS9" s="28" t="n"/>
      <c r="AT9" s="28" t="n"/>
      <c r="AU9" s="28" t="n"/>
      <c r="AV9" s="28" t="n"/>
      <c r="AW9" s="28" t="n"/>
      <c r="AX9" s="28" t="n"/>
      <c r="AY9" s="28" t="n"/>
      <c r="AZ9" s="28" t="n"/>
      <c r="BA9" s="28" t="n"/>
      <c r="BB9" s="28" t="n"/>
      <c r="BC9" s="28" t="n"/>
      <c r="BD9" s="28" t="n"/>
      <c r="BE9" s="28" t="n"/>
      <c r="BF9" s="28" t="n"/>
      <c r="BG9" s="28" t="n"/>
      <c r="BH9" s="28" t="n"/>
      <c r="BI9" s="28" t="n"/>
      <c r="BJ9" s="28" t="n"/>
      <c r="BK9" s="28" t="n"/>
      <c r="BL9" s="28" t="n"/>
      <c r="BM9" s="28" t="n"/>
      <c r="BN9" s="28" t="n"/>
      <c r="BO9" s="28" t="n"/>
      <c r="BP9" s="28" t="n"/>
      <c r="BQ9" s="28" t="n"/>
      <c r="BR9" s="28" t="n"/>
      <c r="BS9" s="28" t="n"/>
    </row>
    <row r="10" ht="20" customHeight="1">
      <c r="A10" s="29" t="inlineStr">
        <is>
          <t>实际</t>
        </is>
      </c>
      <c r="B10" s="29" t="inlineStr">
        <is>
          <t>第一期</t>
        </is>
      </c>
      <c r="C10" s="30" t="inlineStr">
        <is>
          <t>装配线布局完成</t>
        </is>
      </c>
      <c r="D10" s="31">
        <f>'时间节点计划表'!E5</f>
        <v/>
      </c>
      <c r="E10" s="31">
        <f>IF(COUNT('时间节点计划表'!F5),'时间节点计划表'!F5,"")</f>
        <v/>
      </c>
      <c r="F10" s="32">
        <f>IF(OR(D10="",E10=""),"待填",E10-D10)</f>
        <v/>
      </c>
      <c r="G10" s="23">
        <f>IF(AND(COUNT($E10),N(G$2)=N($E10)),$E10,IF(AND(COUNT($E10),N(G$2)&gt;=N($G$2),N(G$2)&lt;N($E10))," ",""))</f>
        <v/>
      </c>
      <c r="H10" s="23">
        <f>IF(AND(COUNT($E10),N(H$2)=N($E10)),$E10,IF(AND(COUNT($E10),N(H$2)&gt;=N($G$2),N(H$2)&lt;N($E10))," ",""))</f>
        <v/>
      </c>
      <c r="I10" s="23">
        <f>IF(AND(COUNT($E10),N(I$2)=N($E10)),$E10,IF(AND(COUNT($E10),N(I$2)&gt;=N($G$2),N(I$2)&lt;N($E10))," ",""))</f>
        <v/>
      </c>
      <c r="J10" s="23">
        <f>IF(AND(COUNT($E10),N(J$2)=N($E10)),$E10,IF(AND(COUNT($E10),N(J$2)&gt;=N($G$2),N(J$2)&lt;N($E10))," ",""))</f>
        <v/>
      </c>
      <c r="K10" s="23">
        <f>IF(AND(COUNT($E10),N(K$2)=N($E10)),$E10,IF(AND(COUNT($E10),N(K$2)&gt;=N($G$2),N(K$2)&lt;N($E10))," ",""))</f>
        <v/>
      </c>
      <c r="L10" s="23">
        <f>IF(AND(COUNT($E10),N(L$2)=N($E10)),$E10,IF(AND(COUNT($E10),N(L$2)&gt;=N($G$2),N(L$2)&lt;N($E10))," ",""))</f>
        <v/>
      </c>
      <c r="M10" s="23">
        <f>IF(AND(COUNT($E10),N(M$2)=N($E10)),$E10,IF(AND(COUNT($E10),N(M$2)&gt;=N($G$2),N(M$2)&lt;N($E10))," ",""))</f>
        <v/>
      </c>
      <c r="N10" s="23">
        <f>IF(AND(COUNT($E10),N(N$2)=N($E10)),$E10,IF(AND(COUNT($E10),N(N$2)&gt;=N($G$2),N(N$2)&lt;N($E10))," ",""))</f>
        <v/>
      </c>
      <c r="O10" s="23">
        <f>IF(AND(COUNT($E10),N(O$2)=N($E10)),$E10,IF(AND(COUNT($E10),N(O$2)&gt;=N($G$2),N(O$2)&lt;N($E10))," ",""))</f>
        <v/>
      </c>
      <c r="P10" s="23">
        <f>IF(AND(COUNT($E10),N(P$2)=N($E10)),$E10,IF(AND(COUNT($E10),N(P$2)&gt;=N($G$2),N(P$2)&lt;N($E10))," ",""))</f>
        <v/>
      </c>
      <c r="Q10" s="23">
        <f>IF(AND(COUNT($E10),N(Q$2)=N($E10)),$E10,IF(AND(COUNT($E10),N(Q$2)&gt;=N($G$2),N(Q$2)&lt;N($E10))," ",""))</f>
        <v/>
      </c>
      <c r="R10" s="23">
        <f>IF(AND(COUNT($E10),N(R$2)=N($E10)),$E10,IF(AND(COUNT($E10),N(R$2)&gt;=N($G$2),N(R$2)&lt;N($E10))," ",""))</f>
        <v/>
      </c>
      <c r="S10" s="23">
        <f>IF(AND(COUNT($E10),N(S$2)=N($E10)),$E10,IF(AND(COUNT($E10),N(S$2)&gt;=N($G$2),N(S$2)&lt;N($E10))," ",""))</f>
        <v/>
      </c>
      <c r="T10" s="23">
        <f>IF(AND(COUNT($E10),N(T$2)=N($E10)),$E10,IF(AND(COUNT($E10),N(T$2)&gt;=N($G$2),N(T$2)&lt;N($E10))," ",""))</f>
        <v/>
      </c>
      <c r="U10" s="23">
        <f>IF(AND(COUNT($E10),N(U$2)=N($E10)),$E10,IF(AND(COUNT($E10),N(U$2)&gt;=N($G$2),N(U$2)&lt;N($E10))," ",""))</f>
        <v/>
      </c>
      <c r="V10" s="23">
        <f>IF(AND(COUNT($E10),N(V$2)=N($E10)),$E10,IF(AND(COUNT($E10),N(V$2)&gt;=N($G$2),N(V$2)&lt;N($E10))," ",""))</f>
        <v/>
      </c>
      <c r="W10" s="23">
        <f>IF(AND(COUNT($E10),N(W$2)=N($E10)),$E10,IF(AND(COUNT($E10),N(W$2)&gt;=N($G$2),N(W$2)&lt;N($E10))," ",""))</f>
        <v/>
      </c>
      <c r="X10" s="23">
        <f>IF(AND(COUNT($E10),N(X$2)=N($E10)),$E10,IF(AND(COUNT($E10),N(X$2)&gt;=N($G$2),N(X$2)&lt;N($E10))," ",""))</f>
        <v/>
      </c>
      <c r="Y10" s="23">
        <f>IF(AND(COUNT($E10),N(Y$2)=N($E10)),$E10,IF(AND(COUNT($E10),N(Y$2)&gt;=N($G$2),N(Y$2)&lt;N($E10))," ",""))</f>
        <v/>
      </c>
      <c r="Z10" s="23">
        <f>IF(AND(COUNT($E10),N(Z$2)=N($E10)),$E10,IF(AND(COUNT($E10),N(Z$2)&gt;=N($G$2),N(Z$2)&lt;N($E10))," ",""))</f>
        <v/>
      </c>
      <c r="AA10" s="23">
        <f>IF(AND(COUNT($E10),N(AA$2)=N($E10)),$E10,IF(AND(COUNT($E10),N(AA$2)&gt;=N($G$2),N(AA$2)&lt;N($E10))," ",""))</f>
        <v/>
      </c>
      <c r="AB10" s="23">
        <f>IF(AND(COUNT($E10),N(AB$2)=N($E10)),$E10,IF(AND(COUNT($E10),N(AB$2)&gt;=N($G$2),N(AB$2)&lt;N($E10))," ",""))</f>
        <v/>
      </c>
      <c r="AC10" s="23">
        <f>IF(AND(COUNT($E10),N(AC$2)=N($E10)),$E10,IF(AND(COUNT($E10),N(AC$2)&gt;=N($G$2),N(AC$2)&lt;N($E10))," ",""))</f>
        <v/>
      </c>
      <c r="AD10" s="23">
        <f>IF(AND(COUNT($E10),N(AD$2)=N($E10)),$E10,IF(AND(COUNT($E10),N(AD$2)&gt;=N($G$2),N(AD$2)&lt;N($E10))," ",""))</f>
        <v/>
      </c>
      <c r="AE10" s="23">
        <f>IF(AND(COUNT($E10),N(AE$2)=N($E10)),$E10,IF(AND(COUNT($E10),N(AE$2)&gt;=N($G$2),N(AE$2)&lt;N($E10))," ",""))</f>
        <v/>
      </c>
      <c r="AF10" s="23">
        <f>IF(AND(COUNT($E10),N(AF$2)=N($E10)),$E10,IF(AND(COUNT($E10),N(AF$2)&gt;=N($G$2),N(AF$2)&lt;N($E10))," ",""))</f>
        <v/>
      </c>
      <c r="AG10" s="23">
        <f>IF(AND(COUNT($E10),N(AG$2)=N($E10)),$E10,IF(AND(COUNT($E10),N(AG$2)&gt;=N($G$2),N(AG$2)&lt;N($E10))," ",""))</f>
        <v/>
      </c>
      <c r="AH10" s="23">
        <f>IF(AND(COUNT($E10),N(AH$2)=N($E10)),$E10,IF(AND(COUNT($E10),N(AH$2)&gt;=N($G$2),N(AH$2)&lt;N($E10))," ",""))</f>
        <v/>
      </c>
      <c r="AI10" s="23">
        <f>IF(AND(COUNT($E10),N(AI$2)=N($E10)),$E10,IF(AND(COUNT($E10),N(AI$2)&gt;=N($G$2),N(AI$2)&lt;N($E10))," ",""))</f>
        <v/>
      </c>
      <c r="AJ10" s="23">
        <f>IF(AND(COUNT($E10),N(AJ$2)=N($E10)),$E10,IF(AND(COUNT($E10),N(AJ$2)&gt;=N($G$2),N(AJ$2)&lt;N($E10))," ",""))</f>
        <v/>
      </c>
      <c r="AK10" s="23">
        <f>IF(AND(COUNT($E10),N(AK$2)=N($E10)),$E10,IF(AND(COUNT($E10),N(AK$2)&gt;=N($G$2),N(AK$2)&lt;N($E10))," ",""))</f>
        <v/>
      </c>
      <c r="AL10" s="23">
        <f>IF(AND(COUNT($E10),N(AL$2)=N($E10)),$E10,IF(AND(COUNT($E10),N(AL$2)&gt;=N($G$2),N(AL$2)&lt;N($E10))," ",""))</f>
        <v/>
      </c>
      <c r="AM10" s="23">
        <f>IF(AND(COUNT($E10),N(AM$2)=N($E10)),$E10,IF(AND(COUNT($E10),N(AM$2)&gt;=N($G$2),N(AM$2)&lt;N($E10))," ",""))</f>
        <v/>
      </c>
      <c r="AN10" s="23">
        <f>IF(AND(COUNT($E10),N(AN$2)=N($E10)),$E10,IF(AND(COUNT($E10),N(AN$2)&gt;=N($G$2),N(AN$2)&lt;N($E10))," ",""))</f>
        <v/>
      </c>
      <c r="AO10" s="23">
        <f>IF(AND(COUNT($E10),N(AO$2)=N($E10)),$E10,IF(AND(COUNT($E10),N(AO$2)&gt;=N($G$2),N(AO$2)&lt;N($E10))," ",""))</f>
        <v/>
      </c>
      <c r="AP10" s="23">
        <f>IF(AND(COUNT($E10),N(AP$2)=N($E10)),$E10,IF(AND(COUNT($E10),N(AP$2)&gt;=N($G$2),N(AP$2)&lt;N($E10))," ",""))</f>
        <v/>
      </c>
      <c r="AQ10" s="23">
        <f>IF(AND(COUNT($E10),N(AQ$2)=N($E10)),$E10,IF(AND(COUNT($E10),N(AQ$2)&gt;=N($G$2),N(AQ$2)&lt;N($E10))," ",""))</f>
        <v/>
      </c>
      <c r="AR10" s="23">
        <f>IF(AND(COUNT($E10),N(AR$2)=N($E10)),$E10,IF(AND(COUNT($E10),N(AR$2)&gt;=N($G$2),N(AR$2)&lt;N($E10))," ",""))</f>
        <v/>
      </c>
      <c r="AS10" s="23">
        <f>IF(AND(COUNT($E10),N(AS$2)=N($E10)),$E10,IF(AND(COUNT($E10),N(AS$2)&gt;=N($G$2),N(AS$2)&lt;N($E10))," ",""))</f>
        <v/>
      </c>
      <c r="AT10" s="23">
        <f>IF(AND(COUNT($E10),N(AT$2)=N($E10)),$E10,IF(AND(COUNT($E10),N(AT$2)&gt;=N($G$2),N(AT$2)&lt;N($E10))," ",""))</f>
        <v/>
      </c>
      <c r="AU10" s="23">
        <f>IF(AND(COUNT($E10),N(AU$2)=N($E10)),$E10,IF(AND(COUNT($E10),N(AU$2)&gt;=N($G$2),N(AU$2)&lt;N($E10))," ",""))</f>
        <v/>
      </c>
      <c r="AV10" s="23">
        <f>IF(AND(COUNT($E10),N(AV$2)=N($E10)),$E10,IF(AND(COUNT($E10),N(AV$2)&gt;=N($G$2),N(AV$2)&lt;N($E10))," ",""))</f>
        <v/>
      </c>
      <c r="AW10" s="23">
        <f>IF(AND(COUNT($E10),N(AW$2)=N($E10)),$E10,IF(AND(COUNT($E10),N(AW$2)&gt;=N($G$2),N(AW$2)&lt;N($E10))," ",""))</f>
        <v/>
      </c>
      <c r="AX10" s="23">
        <f>IF(AND(COUNT($E10),N(AX$2)=N($E10)),$E10,IF(AND(COUNT($E10),N(AX$2)&gt;=N($G$2),N(AX$2)&lt;N($E10))," ",""))</f>
        <v/>
      </c>
      <c r="AY10" s="23">
        <f>IF(AND(COUNT($E10),N(AY$2)=N($E10)),$E10,IF(AND(COUNT($E10),N(AY$2)&gt;=N($G$2),N(AY$2)&lt;N($E10))," ",""))</f>
        <v/>
      </c>
      <c r="AZ10" s="23">
        <f>IF(AND(COUNT($E10),N(AZ$2)=N($E10)),$E10,IF(AND(COUNT($E10),N(AZ$2)&gt;=N($G$2),N(AZ$2)&lt;N($E10))," ",""))</f>
        <v/>
      </c>
      <c r="BA10" s="23">
        <f>IF(AND(COUNT($E10),N(BA$2)=N($E10)),$E10,IF(AND(COUNT($E10),N(BA$2)&gt;=N($G$2),N(BA$2)&lt;N($E10))," ",""))</f>
        <v/>
      </c>
      <c r="BB10" s="23">
        <f>IF(AND(COUNT($E10),N(BB$2)=N($E10)),$E10,IF(AND(COUNT($E10),N(BB$2)&gt;=N($G$2),N(BB$2)&lt;N($E10))," ",""))</f>
        <v/>
      </c>
      <c r="BC10" s="23">
        <f>IF(AND(COUNT($E10),N(BC$2)=N($E10)),$E10,IF(AND(COUNT($E10),N(BC$2)&gt;=N($G$2),N(BC$2)&lt;N($E10))," ",""))</f>
        <v/>
      </c>
      <c r="BD10" s="23">
        <f>IF(AND(COUNT($E10),N(BD$2)=N($E10)),$E10,IF(AND(COUNT($E10),N(BD$2)&gt;=N($G$2),N(BD$2)&lt;N($E10))," ",""))</f>
        <v/>
      </c>
      <c r="BE10" s="23">
        <f>IF(AND(COUNT($E10),N(BE$2)=N($E10)),$E10,IF(AND(COUNT($E10),N(BE$2)&gt;=N($G$2),N(BE$2)&lt;N($E10))," ",""))</f>
        <v/>
      </c>
      <c r="BF10" s="23">
        <f>IF(AND(COUNT($E10),N(BF$2)=N($E10)),$E10,IF(AND(COUNT($E10),N(BF$2)&gt;=N($G$2),N(BF$2)&lt;N($E10))," ",""))</f>
        <v/>
      </c>
      <c r="BG10" s="23">
        <f>IF(AND(COUNT($E10),N(BG$2)=N($E10)),$E10,IF(AND(COUNT($E10),N(BG$2)&gt;=N($G$2),N(BG$2)&lt;N($E10))," ",""))</f>
        <v/>
      </c>
      <c r="BH10" s="23">
        <f>IF(AND(COUNT($E10),N(BH$2)=N($E10)),$E10,IF(AND(COUNT($E10),N(BH$2)&gt;=N($G$2),N(BH$2)&lt;N($E10))," ",""))</f>
        <v/>
      </c>
      <c r="BI10" s="23">
        <f>IF(AND(COUNT($E10),N(BI$2)=N($E10)),$E10,IF(AND(COUNT($E10),N(BI$2)&gt;=N($G$2),N(BI$2)&lt;N($E10))," ",""))</f>
        <v/>
      </c>
      <c r="BJ10" s="23">
        <f>IF(AND(COUNT($E10),N(BJ$2)=N($E10)),$E10,IF(AND(COUNT($E10),N(BJ$2)&gt;=N($G$2),N(BJ$2)&lt;N($E10))," ",""))</f>
        <v/>
      </c>
      <c r="BK10" s="23">
        <f>IF(AND(COUNT($E10),N(BK$2)=N($E10)),$E10,IF(AND(COUNT($E10),N(BK$2)&gt;=N($G$2),N(BK$2)&lt;N($E10))," ",""))</f>
        <v/>
      </c>
      <c r="BL10" s="23">
        <f>IF(AND(COUNT($E10),N(BL$2)=N($E10)),$E10,IF(AND(COUNT($E10),N(BL$2)&gt;=N($G$2),N(BL$2)&lt;N($E10))," ",""))</f>
        <v/>
      </c>
      <c r="BM10" s="23">
        <f>IF(AND(COUNT($E10),N(BM$2)=N($E10)),$E10,IF(AND(COUNT($E10),N(BM$2)&gt;=N($G$2),N(BM$2)&lt;N($E10))," ",""))</f>
        <v/>
      </c>
      <c r="BN10" s="23">
        <f>IF(AND(COUNT($E10),N(BN$2)=N($E10)),$E10,IF(AND(COUNT($E10),N(BN$2)&gt;=N($G$2),N(BN$2)&lt;N($E10))," ",""))</f>
        <v/>
      </c>
      <c r="BO10" s="23">
        <f>IF(AND(COUNT($E10),N(BO$2)=N($E10)),$E10,IF(AND(COUNT($E10),N(BO$2)&gt;=N($G$2),N(BO$2)&lt;N($E10))," ",""))</f>
        <v/>
      </c>
      <c r="BP10" s="23">
        <f>IF(AND(COUNT($E10),N(BP$2)=N($E10)),$E10,IF(AND(COUNT($E10),N(BP$2)&gt;=N($G$2),N(BP$2)&lt;N($E10))," ",""))</f>
        <v/>
      </c>
      <c r="BQ10" s="23">
        <f>IF(AND(COUNT($E10),N(BQ$2)=N($E10)),$E10,IF(AND(COUNT($E10),N(BQ$2)&gt;=N($G$2),N(BQ$2)&lt;N($E10))," ",""))</f>
        <v/>
      </c>
      <c r="BR10" s="23">
        <f>IF(AND(COUNT($E10),N(BR$2)=N($E10)),$E10,IF(AND(COUNT($E10),N(BR$2)&gt;=N($G$2),N(BR$2)&lt;N($E10))," ",""))</f>
        <v/>
      </c>
      <c r="BS10" s="23">
        <f>IF(AND(COUNT($E10),N(BS$2)=N($E10)),$E10,IF(AND(COUNT($E10),N(BS$2)&gt;=N($G$2),N(BS$2)&lt;N($E10))," ",""))</f>
        <v/>
      </c>
    </row>
    <row r="11" ht="20" customHeight="1">
      <c r="A11" s="21" t="inlineStr">
        <is>
          <t>预估</t>
        </is>
      </c>
      <c r="B11" s="21" t="inlineStr">
        <is>
          <t>第一期</t>
        </is>
      </c>
      <c r="C11" s="22" t="inlineStr">
        <is>
          <t>装配工具到位</t>
        </is>
      </c>
      <c r="D11" s="23">
        <f>'时间节点计划表'!E6</f>
        <v/>
      </c>
      <c r="E11" s="23">
        <f>IF(COUNT('时间节点计划表'!F6),'时间节点计划表'!F6,"")</f>
        <v/>
      </c>
      <c r="F11" s="24" t="inlineStr"/>
      <c r="G11" s="25">
        <f>D11</f>
        <v/>
      </c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8" t="n"/>
      <c r="AD11" s="28" t="n"/>
      <c r="AE11" s="28" t="n"/>
      <c r="AF11" s="28" t="n"/>
      <c r="AG11" s="28" t="n"/>
      <c r="AH11" s="28" t="n"/>
      <c r="AI11" s="28" t="n"/>
      <c r="AJ11" s="28" t="n"/>
      <c r="AK11" s="28" t="n"/>
      <c r="AL11" s="28" t="n"/>
      <c r="AM11" s="28" t="n"/>
      <c r="AN11" s="28" t="n"/>
      <c r="AO11" s="28" t="n"/>
      <c r="AP11" s="28" t="n"/>
      <c r="AQ11" s="28" t="n"/>
      <c r="AR11" s="28" t="n"/>
      <c r="AS11" s="28" t="n"/>
      <c r="AT11" s="28" t="n"/>
      <c r="AU11" s="28" t="n"/>
      <c r="AV11" s="28" t="n"/>
      <c r="AW11" s="28" t="n"/>
      <c r="AX11" s="28" t="n"/>
      <c r="AY11" s="28" t="n"/>
      <c r="AZ11" s="28" t="n"/>
      <c r="BA11" s="28" t="n"/>
      <c r="BB11" s="28" t="n"/>
      <c r="BC11" s="28" t="n"/>
      <c r="BD11" s="28" t="n"/>
      <c r="BE11" s="28" t="n"/>
      <c r="BF11" s="28" t="n"/>
      <c r="BG11" s="28" t="n"/>
      <c r="BH11" s="28" t="n"/>
      <c r="BI11" s="28" t="n"/>
      <c r="BJ11" s="28" t="n"/>
      <c r="BK11" s="28" t="n"/>
      <c r="BL11" s="28" t="n"/>
      <c r="BM11" s="28" t="n"/>
      <c r="BN11" s="28" t="n"/>
      <c r="BO11" s="28" t="n"/>
      <c r="BP11" s="28" t="n"/>
      <c r="BQ11" s="28" t="n"/>
      <c r="BR11" s="28" t="n"/>
      <c r="BS11" s="28" t="n"/>
    </row>
    <row r="12" ht="20" customHeight="1">
      <c r="A12" s="29" t="inlineStr">
        <is>
          <t>实际</t>
        </is>
      </c>
      <c r="B12" s="29" t="inlineStr">
        <is>
          <t>第一期</t>
        </is>
      </c>
      <c r="C12" s="30" t="inlineStr">
        <is>
          <t>装配工具到位</t>
        </is>
      </c>
      <c r="D12" s="31">
        <f>'时间节点计划表'!E6</f>
        <v/>
      </c>
      <c r="E12" s="31">
        <f>IF(COUNT('时间节点计划表'!F6),'时间节点计划表'!F6,"")</f>
        <v/>
      </c>
      <c r="F12" s="32">
        <f>IF(OR(D12="",E12=""),"待填",E12-D12)</f>
        <v/>
      </c>
      <c r="G12" s="23">
        <f>IF(AND(COUNT($E12),N(G$2)=N($E12)),$E12,IF(AND(COUNT($E12),N(G$2)&gt;=N($G$2),N(G$2)&lt;N($E12))," ",""))</f>
        <v/>
      </c>
      <c r="H12" s="23">
        <f>IF(AND(COUNT($E12),N(H$2)=N($E12)),$E12,IF(AND(COUNT($E12),N(H$2)&gt;=N($G$2),N(H$2)&lt;N($E12))," ",""))</f>
        <v/>
      </c>
      <c r="I12" s="23">
        <f>IF(AND(COUNT($E12),N(I$2)=N($E12)),$E12,IF(AND(COUNT($E12),N(I$2)&gt;=N($G$2),N(I$2)&lt;N($E12))," ",""))</f>
        <v/>
      </c>
      <c r="J12" s="23">
        <f>IF(AND(COUNT($E12),N(J$2)=N($E12)),$E12,IF(AND(COUNT($E12),N(J$2)&gt;=N($G$2),N(J$2)&lt;N($E12))," ",""))</f>
        <v/>
      </c>
      <c r="K12" s="23">
        <f>IF(AND(COUNT($E12),N(K$2)=N($E12)),$E12,IF(AND(COUNT($E12),N(K$2)&gt;=N($G$2),N(K$2)&lt;N($E12))," ",""))</f>
        <v/>
      </c>
      <c r="L12" s="23">
        <f>IF(AND(COUNT($E12),N(L$2)=N($E12)),$E12,IF(AND(COUNT($E12),N(L$2)&gt;=N($G$2),N(L$2)&lt;N($E12))," ",""))</f>
        <v/>
      </c>
      <c r="M12" s="23">
        <f>IF(AND(COUNT($E12),N(M$2)=N($E12)),$E12,IF(AND(COUNT($E12),N(M$2)&gt;=N($G$2),N(M$2)&lt;N($E12))," ",""))</f>
        <v/>
      </c>
      <c r="N12" s="23">
        <f>IF(AND(COUNT($E12),N(N$2)=N($E12)),$E12,IF(AND(COUNT($E12),N(N$2)&gt;=N($G$2),N(N$2)&lt;N($E12))," ",""))</f>
        <v/>
      </c>
      <c r="O12" s="23">
        <f>IF(AND(COUNT($E12),N(O$2)=N($E12)),$E12,IF(AND(COUNT($E12),N(O$2)&gt;=N($G$2),N(O$2)&lt;N($E12))," ",""))</f>
        <v/>
      </c>
      <c r="P12" s="23">
        <f>IF(AND(COUNT($E12),N(P$2)=N($E12)),$E12,IF(AND(COUNT($E12),N(P$2)&gt;=N($G$2),N(P$2)&lt;N($E12))," ",""))</f>
        <v/>
      </c>
      <c r="Q12" s="23">
        <f>IF(AND(COUNT($E12),N(Q$2)=N($E12)),$E12,IF(AND(COUNT($E12),N(Q$2)&gt;=N($G$2),N(Q$2)&lt;N($E12))," ",""))</f>
        <v/>
      </c>
      <c r="R12" s="23">
        <f>IF(AND(COUNT($E12),N(R$2)=N($E12)),$E12,IF(AND(COUNT($E12),N(R$2)&gt;=N($G$2),N(R$2)&lt;N($E12))," ",""))</f>
        <v/>
      </c>
      <c r="S12" s="23">
        <f>IF(AND(COUNT($E12),N(S$2)=N($E12)),$E12,IF(AND(COUNT($E12),N(S$2)&gt;=N($G$2),N(S$2)&lt;N($E12))," ",""))</f>
        <v/>
      </c>
      <c r="T12" s="23">
        <f>IF(AND(COUNT($E12),N(T$2)=N($E12)),$E12,IF(AND(COUNT($E12),N(T$2)&gt;=N($G$2),N(T$2)&lt;N($E12))," ",""))</f>
        <v/>
      </c>
      <c r="U12" s="23">
        <f>IF(AND(COUNT($E12),N(U$2)=N($E12)),$E12,IF(AND(COUNT($E12),N(U$2)&gt;=N($G$2),N(U$2)&lt;N($E12))," ",""))</f>
        <v/>
      </c>
      <c r="V12" s="23">
        <f>IF(AND(COUNT($E12),N(V$2)=N($E12)),$E12,IF(AND(COUNT($E12),N(V$2)&gt;=N($G$2),N(V$2)&lt;N($E12))," ",""))</f>
        <v/>
      </c>
      <c r="W12" s="23">
        <f>IF(AND(COUNT($E12),N(W$2)=N($E12)),$E12,IF(AND(COUNT($E12),N(W$2)&gt;=N($G$2),N(W$2)&lt;N($E12))," ",""))</f>
        <v/>
      </c>
      <c r="X12" s="23">
        <f>IF(AND(COUNT($E12),N(X$2)=N($E12)),$E12,IF(AND(COUNT($E12),N(X$2)&gt;=N($G$2),N(X$2)&lt;N($E12))," ",""))</f>
        <v/>
      </c>
      <c r="Y12" s="23">
        <f>IF(AND(COUNT($E12),N(Y$2)=N($E12)),$E12,IF(AND(COUNT($E12),N(Y$2)&gt;=N($G$2),N(Y$2)&lt;N($E12))," ",""))</f>
        <v/>
      </c>
      <c r="Z12" s="23">
        <f>IF(AND(COUNT($E12),N(Z$2)=N($E12)),$E12,IF(AND(COUNT($E12),N(Z$2)&gt;=N($G$2),N(Z$2)&lt;N($E12))," ",""))</f>
        <v/>
      </c>
      <c r="AA12" s="23">
        <f>IF(AND(COUNT($E12),N(AA$2)=N($E12)),$E12,IF(AND(COUNT($E12),N(AA$2)&gt;=N($G$2),N(AA$2)&lt;N($E12))," ",""))</f>
        <v/>
      </c>
      <c r="AB12" s="23">
        <f>IF(AND(COUNT($E12),N(AB$2)=N($E12)),$E12,IF(AND(COUNT($E12),N(AB$2)&gt;=N($G$2),N(AB$2)&lt;N($E12))," ",""))</f>
        <v/>
      </c>
      <c r="AC12" s="23">
        <f>IF(AND(COUNT($E12),N(AC$2)=N($E12)),$E12,IF(AND(COUNT($E12),N(AC$2)&gt;=N($G$2),N(AC$2)&lt;N($E12))," ",""))</f>
        <v/>
      </c>
      <c r="AD12" s="23">
        <f>IF(AND(COUNT($E12),N(AD$2)=N($E12)),$E12,IF(AND(COUNT($E12),N(AD$2)&gt;=N($G$2),N(AD$2)&lt;N($E12))," ",""))</f>
        <v/>
      </c>
      <c r="AE12" s="23">
        <f>IF(AND(COUNT($E12),N(AE$2)=N($E12)),$E12,IF(AND(COUNT($E12),N(AE$2)&gt;=N($G$2),N(AE$2)&lt;N($E12))," ",""))</f>
        <v/>
      </c>
      <c r="AF12" s="23">
        <f>IF(AND(COUNT($E12),N(AF$2)=N($E12)),$E12,IF(AND(COUNT($E12),N(AF$2)&gt;=N($G$2),N(AF$2)&lt;N($E12))," ",""))</f>
        <v/>
      </c>
      <c r="AG12" s="23">
        <f>IF(AND(COUNT($E12),N(AG$2)=N($E12)),$E12,IF(AND(COUNT($E12),N(AG$2)&gt;=N($G$2),N(AG$2)&lt;N($E12))," ",""))</f>
        <v/>
      </c>
      <c r="AH12" s="23">
        <f>IF(AND(COUNT($E12),N(AH$2)=N($E12)),$E12,IF(AND(COUNT($E12),N(AH$2)&gt;=N($G$2),N(AH$2)&lt;N($E12))," ",""))</f>
        <v/>
      </c>
      <c r="AI12" s="23">
        <f>IF(AND(COUNT($E12),N(AI$2)=N($E12)),$E12,IF(AND(COUNT($E12),N(AI$2)&gt;=N($G$2),N(AI$2)&lt;N($E12))," ",""))</f>
        <v/>
      </c>
      <c r="AJ12" s="23">
        <f>IF(AND(COUNT($E12),N(AJ$2)=N($E12)),$E12,IF(AND(COUNT($E12),N(AJ$2)&gt;=N($G$2),N(AJ$2)&lt;N($E12))," ",""))</f>
        <v/>
      </c>
      <c r="AK12" s="23">
        <f>IF(AND(COUNT($E12),N(AK$2)=N($E12)),$E12,IF(AND(COUNT($E12),N(AK$2)&gt;=N($G$2),N(AK$2)&lt;N($E12))," ",""))</f>
        <v/>
      </c>
      <c r="AL12" s="23">
        <f>IF(AND(COUNT($E12),N(AL$2)=N($E12)),$E12,IF(AND(COUNT($E12),N(AL$2)&gt;=N($G$2),N(AL$2)&lt;N($E12))," ",""))</f>
        <v/>
      </c>
      <c r="AM12" s="23">
        <f>IF(AND(COUNT($E12),N(AM$2)=N($E12)),$E12,IF(AND(COUNT($E12),N(AM$2)&gt;=N($G$2),N(AM$2)&lt;N($E12))," ",""))</f>
        <v/>
      </c>
      <c r="AN12" s="23">
        <f>IF(AND(COUNT($E12),N(AN$2)=N($E12)),$E12,IF(AND(COUNT($E12),N(AN$2)&gt;=N($G$2),N(AN$2)&lt;N($E12))," ",""))</f>
        <v/>
      </c>
      <c r="AO12" s="23">
        <f>IF(AND(COUNT($E12),N(AO$2)=N($E12)),$E12,IF(AND(COUNT($E12),N(AO$2)&gt;=N($G$2),N(AO$2)&lt;N($E12))," ",""))</f>
        <v/>
      </c>
      <c r="AP12" s="23">
        <f>IF(AND(COUNT($E12),N(AP$2)=N($E12)),$E12,IF(AND(COUNT($E12),N(AP$2)&gt;=N($G$2),N(AP$2)&lt;N($E12))," ",""))</f>
        <v/>
      </c>
      <c r="AQ12" s="23">
        <f>IF(AND(COUNT($E12),N(AQ$2)=N($E12)),$E12,IF(AND(COUNT($E12),N(AQ$2)&gt;=N($G$2),N(AQ$2)&lt;N($E12))," ",""))</f>
        <v/>
      </c>
      <c r="AR12" s="23">
        <f>IF(AND(COUNT($E12),N(AR$2)=N($E12)),$E12,IF(AND(COUNT($E12),N(AR$2)&gt;=N($G$2),N(AR$2)&lt;N($E12))," ",""))</f>
        <v/>
      </c>
      <c r="AS12" s="23">
        <f>IF(AND(COUNT($E12),N(AS$2)=N($E12)),$E12,IF(AND(COUNT($E12),N(AS$2)&gt;=N($G$2),N(AS$2)&lt;N($E12))," ",""))</f>
        <v/>
      </c>
      <c r="AT12" s="23">
        <f>IF(AND(COUNT($E12),N(AT$2)=N($E12)),$E12,IF(AND(COUNT($E12),N(AT$2)&gt;=N($G$2),N(AT$2)&lt;N($E12))," ",""))</f>
        <v/>
      </c>
      <c r="AU12" s="23">
        <f>IF(AND(COUNT($E12),N(AU$2)=N($E12)),$E12,IF(AND(COUNT($E12),N(AU$2)&gt;=N($G$2),N(AU$2)&lt;N($E12))," ",""))</f>
        <v/>
      </c>
      <c r="AV12" s="23">
        <f>IF(AND(COUNT($E12),N(AV$2)=N($E12)),$E12,IF(AND(COUNT($E12),N(AV$2)&gt;=N($G$2),N(AV$2)&lt;N($E12))," ",""))</f>
        <v/>
      </c>
      <c r="AW12" s="23">
        <f>IF(AND(COUNT($E12),N(AW$2)=N($E12)),$E12,IF(AND(COUNT($E12),N(AW$2)&gt;=N($G$2),N(AW$2)&lt;N($E12))," ",""))</f>
        <v/>
      </c>
      <c r="AX12" s="23">
        <f>IF(AND(COUNT($E12),N(AX$2)=N($E12)),$E12,IF(AND(COUNT($E12),N(AX$2)&gt;=N($G$2),N(AX$2)&lt;N($E12))," ",""))</f>
        <v/>
      </c>
      <c r="AY12" s="23">
        <f>IF(AND(COUNT($E12),N(AY$2)=N($E12)),$E12,IF(AND(COUNT($E12),N(AY$2)&gt;=N($G$2),N(AY$2)&lt;N($E12))," ",""))</f>
        <v/>
      </c>
      <c r="AZ12" s="23">
        <f>IF(AND(COUNT($E12),N(AZ$2)=N($E12)),$E12,IF(AND(COUNT($E12),N(AZ$2)&gt;=N($G$2),N(AZ$2)&lt;N($E12))," ",""))</f>
        <v/>
      </c>
      <c r="BA12" s="23">
        <f>IF(AND(COUNT($E12),N(BA$2)=N($E12)),$E12,IF(AND(COUNT($E12),N(BA$2)&gt;=N($G$2),N(BA$2)&lt;N($E12))," ",""))</f>
        <v/>
      </c>
      <c r="BB12" s="23">
        <f>IF(AND(COUNT($E12),N(BB$2)=N($E12)),$E12,IF(AND(COUNT($E12),N(BB$2)&gt;=N($G$2),N(BB$2)&lt;N($E12))," ",""))</f>
        <v/>
      </c>
      <c r="BC12" s="23">
        <f>IF(AND(COUNT($E12),N(BC$2)=N($E12)),$E12,IF(AND(COUNT($E12),N(BC$2)&gt;=N($G$2),N(BC$2)&lt;N($E12))," ",""))</f>
        <v/>
      </c>
      <c r="BD12" s="23">
        <f>IF(AND(COUNT($E12),N(BD$2)=N($E12)),$E12,IF(AND(COUNT($E12),N(BD$2)&gt;=N($G$2),N(BD$2)&lt;N($E12))," ",""))</f>
        <v/>
      </c>
      <c r="BE12" s="23">
        <f>IF(AND(COUNT($E12),N(BE$2)=N($E12)),$E12,IF(AND(COUNT($E12),N(BE$2)&gt;=N($G$2),N(BE$2)&lt;N($E12))," ",""))</f>
        <v/>
      </c>
      <c r="BF12" s="23">
        <f>IF(AND(COUNT($E12),N(BF$2)=N($E12)),$E12,IF(AND(COUNT($E12),N(BF$2)&gt;=N($G$2),N(BF$2)&lt;N($E12))," ",""))</f>
        <v/>
      </c>
      <c r="BG12" s="23">
        <f>IF(AND(COUNT($E12),N(BG$2)=N($E12)),$E12,IF(AND(COUNT($E12),N(BG$2)&gt;=N($G$2),N(BG$2)&lt;N($E12))," ",""))</f>
        <v/>
      </c>
      <c r="BH12" s="23">
        <f>IF(AND(COUNT($E12),N(BH$2)=N($E12)),$E12,IF(AND(COUNT($E12),N(BH$2)&gt;=N($G$2),N(BH$2)&lt;N($E12))," ",""))</f>
        <v/>
      </c>
      <c r="BI12" s="23">
        <f>IF(AND(COUNT($E12),N(BI$2)=N($E12)),$E12,IF(AND(COUNT($E12),N(BI$2)&gt;=N($G$2),N(BI$2)&lt;N($E12))," ",""))</f>
        <v/>
      </c>
      <c r="BJ12" s="23">
        <f>IF(AND(COUNT($E12),N(BJ$2)=N($E12)),$E12,IF(AND(COUNT($E12),N(BJ$2)&gt;=N($G$2),N(BJ$2)&lt;N($E12))," ",""))</f>
        <v/>
      </c>
      <c r="BK12" s="23">
        <f>IF(AND(COUNT($E12),N(BK$2)=N($E12)),$E12,IF(AND(COUNT($E12),N(BK$2)&gt;=N($G$2),N(BK$2)&lt;N($E12))," ",""))</f>
        <v/>
      </c>
      <c r="BL12" s="23">
        <f>IF(AND(COUNT($E12),N(BL$2)=N($E12)),$E12,IF(AND(COUNT($E12),N(BL$2)&gt;=N($G$2),N(BL$2)&lt;N($E12))," ",""))</f>
        <v/>
      </c>
      <c r="BM12" s="23">
        <f>IF(AND(COUNT($E12),N(BM$2)=N($E12)),$E12,IF(AND(COUNT($E12),N(BM$2)&gt;=N($G$2),N(BM$2)&lt;N($E12))," ",""))</f>
        <v/>
      </c>
      <c r="BN12" s="23">
        <f>IF(AND(COUNT($E12),N(BN$2)=N($E12)),$E12,IF(AND(COUNT($E12),N(BN$2)&gt;=N($G$2),N(BN$2)&lt;N($E12))," ",""))</f>
        <v/>
      </c>
      <c r="BO12" s="23">
        <f>IF(AND(COUNT($E12),N(BO$2)=N($E12)),$E12,IF(AND(COUNT($E12),N(BO$2)&gt;=N($G$2),N(BO$2)&lt;N($E12))," ",""))</f>
        <v/>
      </c>
      <c r="BP12" s="23">
        <f>IF(AND(COUNT($E12),N(BP$2)=N($E12)),$E12,IF(AND(COUNT($E12),N(BP$2)&gt;=N($G$2),N(BP$2)&lt;N($E12))," ",""))</f>
        <v/>
      </c>
      <c r="BQ12" s="23">
        <f>IF(AND(COUNT($E12),N(BQ$2)=N($E12)),$E12,IF(AND(COUNT($E12),N(BQ$2)&gt;=N($G$2),N(BQ$2)&lt;N($E12))," ",""))</f>
        <v/>
      </c>
      <c r="BR12" s="23">
        <f>IF(AND(COUNT($E12),N(BR$2)=N($E12)),$E12,IF(AND(COUNT($E12),N(BR$2)&gt;=N($G$2),N(BR$2)&lt;N($E12))," ",""))</f>
        <v/>
      </c>
      <c r="BS12" s="23">
        <f>IF(AND(COUNT($E12),N(BS$2)=N($E12)),$E12,IF(AND(COUNT($E12),N(BS$2)&gt;=N($G$2),N(BS$2)&lt;N($E12))," ",""))</f>
        <v/>
      </c>
    </row>
    <row r="13" ht="20" customHeight="1">
      <c r="A13" s="21" t="inlineStr">
        <is>
          <t>预估</t>
        </is>
      </c>
      <c r="B13" s="21" t="inlineStr">
        <is>
          <t>第一期</t>
        </is>
      </c>
      <c r="C13" s="22" t="inlineStr">
        <is>
          <t>PAB060·零件到位</t>
        </is>
      </c>
      <c r="D13" s="23">
        <f>'时间节点计划表'!E7</f>
        <v/>
      </c>
      <c r="E13" s="23">
        <f>IF(COUNT('时间节点计划表'!F7),'时间节点计划表'!F7,"")</f>
        <v/>
      </c>
      <c r="F13" s="24" t="inlineStr"/>
      <c r="G13" s="25">
        <f>D13</f>
        <v/>
      </c>
      <c r="H13" s="26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6" t="n"/>
      <c r="AO13" s="26" t="n"/>
      <c r="AP13" s="27" t="n"/>
      <c r="AQ13" s="28" t="n"/>
      <c r="AR13" s="28" t="n"/>
      <c r="AS13" s="28" t="n"/>
      <c r="AT13" s="28" t="n"/>
      <c r="AU13" s="28" t="n"/>
      <c r="AV13" s="28" t="n"/>
      <c r="AW13" s="28" t="n"/>
      <c r="AX13" s="28" t="n"/>
      <c r="AY13" s="28" t="n"/>
      <c r="AZ13" s="28" t="n"/>
      <c r="BA13" s="28" t="n"/>
      <c r="BB13" s="28" t="n"/>
      <c r="BC13" s="28" t="n"/>
      <c r="BD13" s="28" t="n"/>
      <c r="BE13" s="28" t="n"/>
      <c r="BF13" s="28" t="n"/>
      <c r="BG13" s="28" t="n"/>
      <c r="BH13" s="28" t="n"/>
      <c r="BI13" s="28" t="n"/>
      <c r="BJ13" s="28" t="n"/>
      <c r="BK13" s="28" t="n"/>
      <c r="BL13" s="28" t="n"/>
      <c r="BM13" s="28" t="n"/>
      <c r="BN13" s="28" t="n"/>
      <c r="BO13" s="28" t="n"/>
      <c r="BP13" s="28" t="n"/>
      <c r="BQ13" s="28" t="n"/>
      <c r="BR13" s="28" t="n"/>
      <c r="BS13" s="28" t="n"/>
    </row>
    <row r="14" ht="20" customHeight="1">
      <c r="A14" s="29" t="inlineStr">
        <is>
          <t>实际</t>
        </is>
      </c>
      <c r="B14" s="29" t="inlineStr">
        <is>
          <t>第一期</t>
        </is>
      </c>
      <c r="C14" s="30" t="inlineStr">
        <is>
          <t>PAB060·零件到位</t>
        </is>
      </c>
      <c r="D14" s="31">
        <f>'时间节点计划表'!E7</f>
        <v/>
      </c>
      <c r="E14" s="31">
        <f>IF(COUNT('时间节点计划表'!F7),'时间节点计划表'!F7,"")</f>
        <v/>
      </c>
      <c r="F14" s="32">
        <f>IF(OR(D14="",E14=""),"待填",E14-D14)</f>
        <v/>
      </c>
      <c r="G14" s="23">
        <f>IF(AND(COUNT($E14),N(G$2)=N($E14)),$E14,IF(AND(COUNT($E14),N(G$2)&gt;=N($G$2),N(G$2)&lt;N($E14))," ",""))</f>
        <v/>
      </c>
      <c r="H14" s="23">
        <f>IF(AND(COUNT($E14),N(H$2)=N($E14)),$E14,IF(AND(COUNT($E14),N(H$2)&gt;=N($G$2),N(H$2)&lt;N($E14))," ",""))</f>
        <v/>
      </c>
      <c r="I14" s="23">
        <f>IF(AND(COUNT($E14),N(I$2)=N($E14)),$E14,IF(AND(COUNT($E14),N(I$2)&gt;=N($G$2),N(I$2)&lt;N($E14))," ",""))</f>
        <v/>
      </c>
      <c r="J14" s="23">
        <f>IF(AND(COUNT($E14),N(J$2)=N($E14)),$E14,IF(AND(COUNT($E14),N(J$2)&gt;=N($G$2),N(J$2)&lt;N($E14))," ",""))</f>
        <v/>
      </c>
      <c r="K14" s="23">
        <f>IF(AND(COUNT($E14),N(K$2)=N($E14)),$E14,IF(AND(COUNT($E14),N(K$2)&gt;=N($G$2),N(K$2)&lt;N($E14))," ",""))</f>
        <v/>
      </c>
      <c r="L14" s="23">
        <f>IF(AND(COUNT($E14),N(L$2)=N($E14)),$E14,IF(AND(COUNT($E14),N(L$2)&gt;=N($G$2),N(L$2)&lt;N($E14))," ",""))</f>
        <v/>
      </c>
      <c r="M14" s="23">
        <f>IF(AND(COUNT($E14),N(M$2)=N($E14)),$E14,IF(AND(COUNT($E14),N(M$2)&gt;=N($G$2),N(M$2)&lt;N($E14))," ",""))</f>
        <v/>
      </c>
      <c r="N14" s="23">
        <f>IF(AND(COUNT($E14),N(N$2)=N($E14)),$E14,IF(AND(COUNT($E14),N(N$2)&gt;=N($G$2),N(N$2)&lt;N($E14))," ",""))</f>
        <v/>
      </c>
      <c r="O14" s="23">
        <f>IF(AND(COUNT($E14),N(O$2)=N($E14)),$E14,IF(AND(COUNT($E14),N(O$2)&gt;=N($G$2),N(O$2)&lt;N($E14))," ",""))</f>
        <v/>
      </c>
      <c r="P14" s="23">
        <f>IF(AND(COUNT($E14),N(P$2)=N($E14)),$E14,IF(AND(COUNT($E14),N(P$2)&gt;=N($G$2),N(P$2)&lt;N($E14))," ",""))</f>
        <v/>
      </c>
      <c r="Q14" s="23">
        <f>IF(AND(COUNT($E14),N(Q$2)=N($E14)),$E14,IF(AND(COUNT($E14),N(Q$2)&gt;=N($G$2),N(Q$2)&lt;N($E14))," ",""))</f>
        <v/>
      </c>
      <c r="R14" s="23">
        <f>IF(AND(COUNT($E14),N(R$2)=N($E14)),$E14,IF(AND(COUNT($E14),N(R$2)&gt;=N($G$2),N(R$2)&lt;N($E14))," ",""))</f>
        <v/>
      </c>
      <c r="S14" s="23">
        <f>IF(AND(COUNT($E14),N(S$2)=N($E14)),$E14,IF(AND(COUNT($E14),N(S$2)&gt;=N($G$2),N(S$2)&lt;N($E14))," ",""))</f>
        <v/>
      </c>
      <c r="T14" s="23">
        <f>IF(AND(COUNT($E14),N(T$2)=N($E14)),$E14,IF(AND(COUNT($E14),N(T$2)&gt;=N($G$2),N(T$2)&lt;N($E14))," ",""))</f>
        <v/>
      </c>
      <c r="U14" s="23">
        <f>IF(AND(COUNT($E14),N(U$2)=N($E14)),$E14,IF(AND(COUNT($E14),N(U$2)&gt;=N($G$2),N(U$2)&lt;N($E14))," ",""))</f>
        <v/>
      </c>
      <c r="V14" s="23">
        <f>IF(AND(COUNT($E14),N(V$2)=N($E14)),$E14,IF(AND(COUNT($E14),N(V$2)&gt;=N($G$2),N(V$2)&lt;N($E14))," ",""))</f>
        <v/>
      </c>
      <c r="W14" s="23">
        <f>IF(AND(COUNT($E14),N(W$2)=N($E14)),$E14,IF(AND(COUNT($E14),N(W$2)&gt;=N($G$2),N(W$2)&lt;N($E14))," ",""))</f>
        <v/>
      </c>
      <c r="X14" s="23">
        <f>IF(AND(COUNT($E14),N(X$2)=N($E14)),$E14,IF(AND(COUNT($E14),N(X$2)&gt;=N($G$2),N(X$2)&lt;N($E14))," ",""))</f>
        <v/>
      </c>
      <c r="Y14" s="23">
        <f>IF(AND(COUNT($E14),N(Y$2)=N($E14)),$E14,IF(AND(COUNT($E14),N(Y$2)&gt;=N($G$2),N(Y$2)&lt;N($E14))," ",""))</f>
        <v/>
      </c>
      <c r="Z14" s="23">
        <f>IF(AND(COUNT($E14),N(Z$2)=N($E14)),$E14,IF(AND(COUNT($E14),N(Z$2)&gt;=N($G$2),N(Z$2)&lt;N($E14))," ",""))</f>
        <v/>
      </c>
      <c r="AA14" s="23">
        <f>IF(AND(COUNT($E14),N(AA$2)=N($E14)),$E14,IF(AND(COUNT($E14),N(AA$2)&gt;=N($G$2),N(AA$2)&lt;N($E14))," ",""))</f>
        <v/>
      </c>
      <c r="AB14" s="23">
        <f>IF(AND(COUNT($E14),N(AB$2)=N($E14)),$E14,IF(AND(COUNT($E14),N(AB$2)&gt;=N($G$2),N(AB$2)&lt;N($E14))," ",""))</f>
        <v/>
      </c>
      <c r="AC14" s="23">
        <f>IF(AND(COUNT($E14),N(AC$2)=N($E14)),$E14,IF(AND(COUNT($E14),N(AC$2)&gt;=N($G$2),N(AC$2)&lt;N($E14))," ",""))</f>
        <v/>
      </c>
      <c r="AD14" s="23">
        <f>IF(AND(COUNT($E14),N(AD$2)=N($E14)),$E14,IF(AND(COUNT($E14),N(AD$2)&gt;=N($G$2),N(AD$2)&lt;N($E14))," ",""))</f>
        <v/>
      </c>
      <c r="AE14" s="23">
        <f>IF(AND(COUNT($E14),N(AE$2)=N($E14)),$E14,IF(AND(COUNT($E14),N(AE$2)&gt;=N($G$2),N(AE$2)&lt;N($E14))," ",""))</f>
        <v/>
      </c>
      <c r="AF14" s="23">
        <f>IF(AND(COUNT($E14),N(AF$2)=N($E14)),$E14,IF(AND(COUNT($E14),N(AF$2)&gt;=N($G$2),N(AF$2)&lt;N($E14))," ",""))</f>
        <v/>
      </c>
      <c r="AG14" s="23">
        <f>IF(AND(COUNT($E14),N(AG$2)=N($E14)),$E14,IF(AND(COUNT($E14),N(AG$2)&gt;=N($G$2),N(AG$2)&lt;N($E14))," ",""))</f>
        <v/>
      </c>
      <c r="AH14" s="23">
        <f>IF(AND(COUNT($E14),N(AH$2)=N($E14)),$E14,IF(AND(COUNT($E14),N(AH$2)&gt;=N($G$2),N(AH$2)&lt;N($E14))," ",""))</f>
        <v/>
      </c>
      <c r="AI14" s="23">
        <f>IF(AND(COUNT($E14),N(AI$2)=N($E14)),$E14,IF(AND(COUNT($E14),N(AI$2)&gt;=N($G$2),N(AI$2)&lt;N($E14))," ",""))</f>
        <v/>
      </c>
      <c r="AJ14" s="23">
        <f>IF(AND(COUNT($E14),N(AJ$2)=N($E14)),$E14,IF(AND(COUNT($E14),N(AJ$2)&gt;=N($G$2),N(AJ$2)&lt;N($E14))," ",""))</f>
        <v/>
      </c>
      <c r="AK14" s="23">
        <f>IF(AND(COUNT($E14),N(AK$2)=N($E14)),$E14,IF(AND(COUNT($E14),N(AK$2)&gt;=N($G$2),N(AK$2)&lt;N($E14))," ",""))</f>
        <v/>
      </c>
      <c r="AL14" s="23">
        <f>IF(AND(COUNT($E14),N(AL$2)=N($E14)),$E14,IF(AND(COUNT($E14),N(AL$2)&gt;=N($G$2),N(AL$2)&lt;N($E14))," ",""))</f>
        <v/>
      </c>
      <c r="AM14" s="23">
        <f>IF(AND(COUNT($E14),N(AM$2)=N($E14)),$E14,IF(AND(COUNT($E14),N(AM$2)&gt;=N($G$2),N(AM$2)&lt;N($E14))," ",""))</f>
        <v/>
      </c>
      <c r="AN14" s="23">
        <f>IF(AND(COUNT($E14),N(AN$2)=N($E14)),$E14,IF(AND(COUNT($E14),N(AN$2)&gt;=N($G$2),N(AN$2)&lt;N($E14))," ",""))</f>
        <v/>
      </c>
      <c r="AO14" s="23">
        <f>IF(AND(COUNT($E14),N(AO$2)=N($E14)),$E14,IF(AND(COUNT($E14),N(AO$2)&gt;=N($G$2),N(AO$2)&lt;N($E14))," ",""))</f>
        <v/>
      </c>
      <c r="AP14" s="23">
        <f>IF(AND(COUNT($E14),N(AP$2)=N($E14)),$E14,IF(AND(COUNT($E14),N(AP$2)&gt;=N($G$2),N(AP$2)&lt;N($E14))," ",""))</f>
        <v/>
      </c>
      <c r="AQ14" s="23">
        <f>IF(AND(COUNT($E14),N(AQ$2)=N($E14)),$E14,IF(AND(COUNT($E14),N(AQ$2)&gt;=N($G$2),N(AQ$2)&lt;N($E14))," ",""))</f>
        <v/>
      </c>
      <c r="AR14" s="23">
        <f>IF(AND(COUNT($E14),N(AR$2)=N($E14)),$E14,IF(AND(COUNT($E14),N(AR$2)&gt;=N($G$2),N(AR$2)&lt;N($E14))," ",""))</f>
        <v/>
      </c>
      <c r="AS14" s="23">
        <f>IF(AND(COUNT($E14),N(AS$2)=N($E14)),$E14,IF(AND(COUNT($E14),N(AS$2)&gt;=N($G$2),N(AS$2)&lt;N($E14))," ",""))</f>
        <v/>
      </c>
      <c r="AT14" s="23">
        <f>IF(AND(COUNT($E14),N(AT$2)=N($E14)),$E14,IF(AND(COUNT($E14),N(AT$2)&gt;=N($G$2),N(AT$2)&lt;N($E14))," ",""))</f>
        <v/>
      </c>
      <c r="AU14" s="23">
        <f>IF(AND(COUNT($E14),N(AU$2)=N($E14)),$E14,IF(AND(COUNT($E14),N(AU$2)&gt;=N($G$2),N(AU$2)&lt;N($E14))," ",""))</f>
        <v/>
      </c>
      <c r="AV14" s="23">
        <f>IF(AND(COUNT($E14),N(AV$2)=N($E14)),$E14,IF(AND(COUNT($E14),N(AV$2)&gt;=N($G$2),N(AV$2)&lt;N($E14))," ",""))</f>
        <v/>
      </c>
      <c r="AW14" s="23">
        <f>IF(AND(COUNT($E14),N(AW$2)=N($E14)),$E14,IF(AND(COUNT($E14),N(AW$2)&gt;=N($G$2),N(AW$2)&lt;N($E14))," ",""))</f>
        <v/>
      </c>
      <c r="AX14" s="23">
        <f>IF(AND(COUNT($E14),N(AX$2)=N($E14)),$E14,IF(AND(COUNT($E14),N(AX$2)&gt;=N($G$2),N(AX$2)&lt;N($E14))," ",""))</f>
        <v/>
      </c>
      <c r="AY14" s="23">
        <f>IF(AND(COUNT($E14),N(AY$2)=N($E14)),$E14,IF(AND(COUNT($E14),N(AY$2)&gt;=N($G$2),N(AY$2)&lt;N($E14))," ",""))</f>
        <v/>
      </c>
      <c r="AZ14" s="23">
        <f>IF(AND(COUNT($E14),N(AZ$2)=N($E14)),$E14,IF(AND(COUNT($E14),N(AZ$2)&gt;=N($G$2),N(AZ$2)&lt;N($E14))," ",""))</f>
        <v/>
      </c>
      <c r="BA14" s="23">
        <f>IF(AND(COUNT($E14),N(BA$2)=N($E14)),$E14,IF(AND(COUNT($E14),N(BA$2)&gt;=N($G$2),N(BA$2)&lt;N($E14))," ",""))</f>
        <v/>
      </c>
      <c r="BB14" s="23">
        <f>IF(AND(COUNT($E14),N(BB$2)=N($E14)),$E14,IF(AND(COUNT($E14),N(BB$2)&gt;=N($G$2),N(BB$2)&lt;N($E14))," ",""))</f>
        <v/>
      </c>
      <c r="BC14" s="23">
        <f>IF(AND(COUNT($E14),N(BC$2)=N($E14)),$E14,IF(AND(COUNT($E14),N(BC$2)&gt;=N($G$2),N(BC$2)&lt;N($E14))," ",""))</f>
        <v/>
      </c>
      <c r="BD14" s="23">
        <f>IF(AND(COUNT($E14),N(BD$2)=N($E14)),$E14,IF(AND(COUNT($E14),N(BD$2)&gt;=N($G$2),N(BD$2)&lt;N($E14))," ",""))</f>
        <v/>
      </c>
      <c r="BE14" s="23">
        <f>IF(AND(COUNT($E14),N(BE$2)=N($E14)),$E14,IF(AND(COUNT($E14),N(BE$2)&gt;=N($G$2),N(BE$2)&lt;N($E14))," ",""))</f>
        <v/>
      </c>
      <c r="BF14" s="23">
        <f>IF(AND(COUNT($E14),N(BF$2)=N($E14)),$E14,IF(AND(COUNT($E14),N(BF$2)&gt;=N($G$2),N(BF$2)&lt;N($E14))," ",""))</f>
        <v/>
      </c>
      <c r="BG14" s="23">
        <f>IF(AND(COUNT($E14),N(BG$2)=N($E14)),$E14,IF(AND(COUNT($E14),N(BG$2)&gt;=N($G$2),N(BG$2)&lt;N($E14))," ",""))</f>
        <v/>
      </c>
      <c r="BH14" s="23">
        <f>IF(AND(COUNT($E14),N(BH$2)=N($E14)),$E14,IF(AND(COUNT($E14),N(BH$2)&gt;=N($G$2),N(BH$2)&lt;N($E14))," ",""))</f>
        <v/>
      </c>
      <c r="BI14" s="23">
        <f>IF(AND(COUNT($E14),N(BI$2)=N($E14)),$E14,IF(AND(COUNT($E14),N(BI$2)&gt;=N($G$2),N(BI$2)&lt;N($E14))," ",""))</f>
        <v/>
      </c>
      <c r="BJ14" s="23">
        <f>IF(AND(COUNT($E14),N(BJ$2)=N($E14)),$E14,IF(AND(COUNT($E14),N(BJ$2)&gt;=N($G$2),N(BJ$2)&lt;N($E14))," ",""))</f>
        <v/>
      </c>
      <c r="BK14" s="23">
        <f>IF(AND(COUNT($E14),N(BK$2)=N($E14)),$E14,IF(AND(COUNT($E14),N(BK$2)&gt;=N($G$2),N(BK$2)&lt;N($E14))," ",""))</f>
        <v/>
      </c>
      <c r="BL14" s="23">
        <f>IF(AND(COUNT($E14),N(BL$2)=N($E14)),$E14,IF(AND(COUNT($E14),N(BL$2)&gt;=N($G$2),N(BL$2)&lt;N($E14))," ",""))</f>
        <v/>
      </c>
      <c r="BM14" s="23">
        <f>IF(AND(COUNT($E14),N(BM$2)=N($E14)),$E14,IF(AND(COUNT($E14),N(BM$2)&gt;=N($G$2),N(BM$2)&lt;N($E14))," ",""))</f>
        <v/>
      </c>
      <c r="BN14" s="23">
        <f>IF(AND(COUNT($E14),N(BN$2)=N($E14)),$E14,IF(AND(COUNT($E14),N(BN$2)&gt;=N($G$2),N(BN$2)&lt;N($E14))," ",""))</f>
        <v/>
      </c>
      <c r="BO14" s="23">
        <f>IF(AND(COUNT($E14),N(BO$2)=N($E14)),$E14,IF(AND(COUNT($E14),N(BO$2)&gt;=N($G$2),N(BO$2)&lt;N($E14))," ",""))</f>
        <v/>
      </c>
      <c r="BP14" s="23">
        <f>IF(AND(COUNT($E14),N(BP$2)=N($E14)),$E14,IF(AND(COUNT($E14),N(BP$2)&gt;=N($G$2),N(BP$2)&lt;N($E14))," ",""))</f>
        <v/>
      </c>
      <c r="BQ14" s="23">
        <f>IF(AND(COUNT($E14),N(BQ$2)=N($E14)),$E14,IF(AND(COUNT($E14),N(BQ$2)&gt;=N($G$2),N(BQ$2)&lt;N($E14))," ",""))</f>
        <v/>
      </c>
      <c r="BR14" s="23">
        <f>IF(AND(COUNT($E14),N(BR$2)=N($E14)),$E14,IF(AND(COUNT($E14),N(BR$2)&gt;=N($G$2),N(BR$2)&lt;N($E14))," ",""))</f>
        <v/>
      </c>
      <c r="BS14" s="23">
        <f>IF(AND(COUNT($E14),N(BS$2)=N($E14)),$E14,IF(AND(COUNT($E14),N(BS$2)&gt;=N($G$2),N(BS$2)&lt;N($E14))," ",""))</f>
        <v/>
      </c>
    </row>
    <row r="15" ht="20" customHeight="1">
      <c r="A15" s="21" t="inlineStr">
        <is>
          <t>预估</t>
        </is>
      </c>
      <c r="B15" s="21" t="inlineStr">
        <is>
          <t>第一期</t>
        </is>
      </c>
      <c r="C15" s="22" t="inlineStr">
        <is>
          <t>PAB060·工装图纸绘制</t>
        </is>
      </c>
      <c r="D15" s="23">
        <f>'时间节点计划表'!E8</f>
        <v/>
      </c>
      <c r="E15" s="23">
        <f>IF(COUNT('时间节点计划表'!F8),'时间节点计划表'!F8,"")</f>
        <v/>
      </c>
      <c r="F15" s="24" t="inlineStr"/>
      <c r="G15" s="25">
        <f>D15</f>
        <v/>
      </c>
      <c r="H15" s="26" t="n"/>
      <c r="I15" s="26" t="n"/>
      <c r="J15" s="26" t="n"/>
      <c r="K15" s="26" t="n"/>
      <c r="L15" s="26" t="n"/>
      <c r="M15" s="26" t="n"/>
      <c r="N15" s="26" t="n"/>
      <c r="O15" s="27" t="n"/>
      <c r="P15" s="28" t="n"/>
      <c r="Q15" s="28" t="n"/>
      <c r="R15" s="28" t="n"/>
      <c r="S15" s="28" t="n"/>
      <c r="T15" s="28" t="n"/>
      <c r="U15" s="28" t="n"/>
      <c r="V15" s="28" t="n"/>
      <c r="W15" s="28" t="n"/>
      <c r="X15" s="28" t="n"/>
      <c r="Y15" s="28" t="n"/>
      <c r="Z15" s="28" t="n"/>
      <c r="AA15" s="28" t="n"/>
      <c r="AB15" s="28" t="n"/>
      <c r="AC15" s="28" t="n"/>
      <c r="AD15" s="28" t="n"/>
      <c r="AE15" s="28" t="n"/>
      <c r="AF15" s="28" t="n"/>
      <c r="AG15" s="28" t="n"/>
      <c r="AH15" s="28" t="n"/>
      <c r="AI15" s="28" t="n"/>
      <c r="AJ15" s="28" t="n"/>
      <c r="AK15" s="28" t="n"/>
      <c r="AL15" s="28" t="n"/>
      <c r="AM15" s="28" t="n"/>
      <c r="AN15" s="28" t="n"/>
      <c r="AO15" s="28" t="n"/>
      <c r="AP15" s="28" t="n"/>
      <c r="AQ15" s="28" t="n"/>
      <c r="AR15" s="28" t="n"/>
      <c r="AS15" s="28" t="n"/>
      <c r="AT15" s="28" t="n"/>
      <c r="AU15" s="28" t="n"/>
      <c r="AV15" s="28" t="n"/>
      <c r="AW15" s="28" t="n"/>
      <c r="AX15" s="28" t="n"/>
      <c r="AY15" s="28" t="n"/>
      <c r="AZ15" s="28" t="n"/>
      <c r="BA15" s="28" t="n"/>
      <c r="BB15" s="28" t="n"/>
      <c r="BC15" s="28" t="n"/>
      <c r="BD15" s="28" t="n"/>
      <c r="BE15" s="28" t="n"/>
      <c r="BF15" s="28" t="n"/>
      <c r="BG15" s="28" t="n"/>
      <c r="BH15" s="28" t="n"/>
      <c r="BI15" s="28" t="n"/>
      <c r="BJ15" s="28" t="n"/>
      <c r="BK15" s="28" t="n"/>
      <c r="BL15" s="28" t="n"/>
      <c r="BM15" s="28" t="n"/>
      <c r="BN15" s="28" t="n"/>
      <c r="BO15" s="28" t="n"/>
      <c r="BP15" s="28" t="n"/>
      <c r="BQ15" s="28" t="n"/>
      <c r="BR15" s="28" t="n"/>
      <c r="BS15" s="28" t="n"/>
    </row>
    <row r="16" ht="20" customHeight="1">
      <c r="A16" s="29" t="inlineStr">
        <is>
          <t>实际</t>
        </is>
      </c>
      <c r="B16" s="29" t="inlineStr">
        <is>
          <t>第一期</t>
        </is>
      </c>
      <c r="C16" s="30" t="inlineStr">
        <is>
          <t>PAB060·工装图纸绘制</t>
        </is>
      </c>
      <c r="D16" s="31">
        <f>'时间节点计划表'!E8</f>
        <v/>
      </c>
      <c r="E16" s="31">
        <f>IF(COUNT('时间节点计划表'!F8),'时间节点计划表'!F8,"")</f>
        <v/>
      </c>
      <c r="F16" s="32">
        <f>IF(OR(D16="",E16=""),"待填",E16-D16)</f>
        <v/>
      </c>
      <c r="G16" s="23">
        <f>IF(AND(COUNT($E16),N(G$2)=N($E16)),$E16,IF(AND(COUNT($E16),N(G$2)&gt;=N($G$2),N(G$2)&lt;N($E16))," ",""))</f>
        <v/>
      </c>
      <c r="H16" s="23">
        <f>IF(AND(COUNT($E16),N(H$2)=N($E16)),$E16,IF(AND(COUNT($E16),N(H$2)&gt;=N($G$2),N(H$2)&lt;N($E16))," ",""))</f>
        <v/>
      </c>
      <c r="I16" s="23">
        <f>IF(AND(COUNT($E16),N(I$2)=N($E16)),$E16,IF(AND(COUNT($E16),N(I$2)&gt;=N($G$2),N(I$2)&lt;N($E16))," ",""))</f>
        <v/>
      </c>
      <c r="J16" s="23">
        <f>IF(AND(COUNT($E16),N(J$2)=N($E16)),$E16,IF(AND(COUNT($E16),N(J$2)&gt;=N($G$2),N(J$2)&lt;N($E16))," ",""))</f>
        <v/>
      </c>
      <c r="K16" s="23">
        <f>IF(AND(COUNT($E16),N(K$2)=N($E16)),$E16,IF(AND(COUNT($E16),N(K$2)&gt;=N($G$2),N(K$2)&lt;N($E16))," ",""))</f>
        <v/>
      </c>
      <c r="L16" s="23">
        <f>IF(AND(COUNT($E16),N(L$2)=N($E16)),$E16,IF(AND(COUNT($E16),N(L$2)&gt;=N($G$2),N(L$2)&lt;N($E16))," ",""))</f>
        <v/>
      </c>
      <c r="M16" s="23">
        <f>IF(AND(COUNT($E16),N(M$2)=N($E16)),$E16,IF(AND(COUNT($E16),N(M$2)&gt;=N($G$2),N(M$2)&lt;N($E16))," ",""))</f>
        <v/>
      </c>
      <c r="N16" s="23">
        <f>IF(AND(COUNT($E16),N(N$2)=N($E16)),$E16,IF(AND(COUNT($E16),N(N$2)&gt;=N($G$2),N(N$2)&lt;N($E16))," ",""))</f>
        <v/>
      </c>
      <c r="O16" s="23">
        <f>IF(AND(COUNT($E16),N(O$2)=N($E16)),$E16,IF(AND(COUNT($E16),N(O$2)&gt;=N($G$2),N(O$2)&lt;N($E16))," ",""))</f>
        <v/>
      </c>
      <c r="P16" s="23">
        <f>IF(AND(COUNT($E16),N(P$2)=N($E16)),$E16,IF(AND(COUNT($E16),N(P$2)&gt;=N($G$2),N(P$2)&lt;N($E16))," ",""))</f>
        <v/>
      </c>
      <c r="Q16" s="23">
        <f>IF(AND(COUNT($E16),N(Q$2)=N($E16)),$E16,IF(AND(COUNT($E16),N(Q$2)&gt;=N($G$2),N(Q$2)&lt;N($E16))," ",""))</f>
        <v/>
      </c>
      <c r="R16" s="23">
        <f>IF(AND(COUNT($E16),N(R$2)=N($E16)),$E16,IF(AND(COUNT($E16),N(R$2)&gt;=N($G$2),N(R$2)&lt;N($E16))," ",""))</f>
        <v/>
      </c>
      <c r="S16" s="23">
        <f>IF(AND(COUNT($E16),N(S$2)=N($E16)),$E16,IF(AND(COUNT($E16),N(S$2)&gt;=N($G$2),N(S$2)&lt;N($E16))," ",""))</f>
        <v/>
      </c>
      <c r="T16" s="23">
        <f>IF(AND(COUNT($E16),N(T$2)=N($E16)),$E16,IF(AND(COUNT($E16),N(T$2)&gt;=N($G$2),N(T$2)&lt;N($E16))," ",""))</f>
        <v/>
      </c>
      <c r="U16" s="23">
        <f>IF(AND(COUNT($E16),N(U$2)=N($E16)),$E16,IF(AND(COUNT($E16),N(U$2)&gt;=N($G$2),N(U$2)&lt;N($E16))," ",""))</f>
        <v/>
      </c>
      <c r="V16" s="23">
        <f>IF(AND(COUNT($E16),N(V$2)=N($E16)),$E16,IF(AND(COUNT($E16),N(V$2)&gt;=N($G$2),N(V$2)&lt;N($E16))," ",""))</f>
        <v/>
      </c>
      <c r="W16" s="23">
        <f>IF(AND(COUNT($E16),N(W$2)=N($E16)),$E16,IF(AND(COUNT($E16),N(W$2)&gt;=N($G$2),N(W$2)&lt;N($E16))," ",""))</f>
        <v/>
      </c>
      <c r="X16" s="23">
        <f>IF(AND(COUNT($E16),N(X$2)=N($E16)),$E16,IF(AND(COUNT($E16),N(X$2)&gt;=N($G$2),N(X$2)&lt;N($E16))," ",""))</f>
        <v/>
      </c>
      <c r="Y16" s="23">
        <f>IF(AND(COUNT($E16),N(Y$2)=N($E16)),$E16,IF(AND(COUNT($E16),N(Y$2)&gt;=N($G$2),N(Y$2)&lt;N($E16))," ",""))</f>
        <v/>
      </c>
      <c r="Z16" s="23">
        <f>IF(AND(COUNT($E16),N(Z$2)=N($E16)),$E16,IF(AND(COUNT($E16),N(Z$2)&gt;=N($G$2),N(Z$2)&lt;N($E16))," ",""))</f>
        <v/>
      </c>
      <c r="AA16" s="23">
        <f>IF(AND(COUNT($E16),N(AA$2)=N($E16)),$E16,IF(AND(COUNT($E16),N(AA$2)&gt;=N($G$2),N(AA$2)&lt;N($E16))," ",""))</f>
        <v/>
      </c>
      <c r="AB16" s="23">
        <f>IF(AND(COUNT($E16),N(AB$2)=N($E16)),$E16,IF(AND(COUNT($E16),N(AB$2)&gt;=N($G$2),N(AB$2)&lt;N($E16))," ",""))</f>
        <v/>
      </c>
      <c r="AC16" s="23">
        <f>IF(AND(COUNT($E16),N(AC$2)=N($E16)),$E16,IF(AND(COUNT($E16),N(AC$2)&gt;=N($G$2),N(AC$2)&lt;N($E16))," ",""))</f>
        <v/>
      </c>
      <c r="AD16" s="23">
        <f>IF(AND(COUNT($E16),N(AD$2)=N($E16)),$E16,IF(AND(COUNT($E16),N(AD$2)&gt;=N($G$2),N(AD$2)&lt;N($E16))," ",""))</f>
        <v/>
      </c>
      <c r="AE16" s="23">
        <f>IF(AND(COUNT($E16),N(AE$2)=N($E16)),$E16,IF(AND(COUNT($E16),N(AE$2)&gt;=N($G$2),N(AE$2)&lt;N($E16))," ",""))</f>
        <v/>
      </c>
      <c r="AF16" s="23">
        <f>IF(AND(COUNT($E16),N(AF$2)=N($E16)),$E16,IF(AND(COUNT($E16),N(AF$2)&gt;=N($G$2),N(AF$2)&lt;N($E16))," ",""))</f>
        <v/>
      </c>
      <c r="AG16" s="23">
        <f>IF(AND(COUNT($E16),N(AG$2)=N($E16)),$E16,IF(AND(COUNT($E16),N(AG$2)&gt;=N($G$2),N(AG$2)&lt;N($E16))," ",""))</f>
        <v/>
      </c>
      <c r="AH16" s="23">
        <f>IF(AND(COUNT($E16),N(AH$2)=N($E16)),$E16,IF(AND(COUNT($E16),N(AH$2)&gt;=N($G$2),N(AH$2)&lt;N($E16))," ",""))</f>
        <v/>
      </c>
      <c r="AI16" s="23">
        <f>IF(AND(COUNT($E16),N(AI$2)=N($E16)),$E16,IF(AND(COUNT($E16),N(AI$2)&gt;=N($G$2),N(AI$2)&lt;N($E16))," ",""))</f>
        <v/>
      </c>
      <c r="AJ16" s="23">
        <f>IF(AND(COUNT($E16),N(AJ$2)=N($E16)),$E16,IF(AND(COUNT($E16),N(AJ$2)&gt;=N($G$2),N(AJ$2)&lt;N($E16))," ",""))</f>
        <v/>
      </c>
      <c r="AK16" s="23">
        <f>IF(AND(COUNT($E16),N(AK$2)=N($E16)),$E16,IF(AND(COUNT($E16),N(AK$2)&gt;=N($G$2),N(AK$2)&lt;N($E16))," ",""))</f>
        <v/>
      </c>
      <c r="AL16" s="23">
        <f>IF(AND(COUNT($E16),N(AL$2)=N($E16)),$E16,IF(AND(COUNT($E16),N(AL$2)&gt;=N($G$2),N(AL$2)&lt;N($E16))," ",""))</f>
        <v/>
      </c>
      <c r="AM16" s="23">
        <f>IF(AND(COUNT($E16),N(AM$2)=N($E16)),$E16,IF(AND(COUNT($E16),N(AM$2)&gt;=N($G$2),N(AM$2)&lt;N($E16))," ",""))</f>
        <v/>
      </c>
      <c r="AN16" s="23">
        <f>IF(AND(COUNT($E16),N(AN$2)=N($E16)),$E16,IF(AND(COUNT($E16),N(AN$2)&gt;=N($G$2),N(AN$2)&lt;N($E16))," ",""))</f>
        <v/>
      </c>
      <c r="AO16" s="23">
        <f>IF(AND(COUNT($E16),N(AO$2)=N($E16)),$E16,IF(AND(COUNT($E16),N(AO$2)&gt;=N($G$2),N(AO$2)&lt;N($E16))," ",""))</f>
        <v/>
      </c>
      <c r="AP16" s="23">
        <f>IF(AND(COUNT($E16),N(AP$2)=N($E16)),$E16,IF(AND(COUNT($E16),N(AP$2)&gt;=N($G$2),N(AP$2)&lt;N($E16))," ",""))</f>
        <v/>
      </c>
      <c r="AQ16" s="23">
        <f>IF(AND(COUNT($E16),N(AQ$2)=N($E16)),$E16,IF(AND(COUNT($E16),N(AQ$2)&gt;=N($G$2),N(AQ$2)&lt;N($E16))," ",""))</f>
        <v/>
      </c>
      <c r="AR16" s="23">
        <f>IF(AND(COUNT($E16),N(AR$2)=N($E16)),$E16,IF(AND(COUNT($E16),N(AR$2)&gt;=N($G$2),N(AR$2)&lt;N($E16))," ",""))</f>
        <v/>
      </c>
      <c r="AS16" s="23">
        <f>IF(AND(COUNT($E16),N(AS$2)=N($E16)),$E16,IF(AND(COUNT($E16),N(AS$2)&gt;=N($G$2),N(AS$2)&lt;N($E16))," ",""))</f>
        <v/>
      </c>
      <c r="AT16" s="23">
        <f>IF(AND(COUNT($E16),N(AT$2)=N($E16)),$E16,IF(AND(COUNT($E16),N(AT$2)&gt;=N($G$2),N(AT$2)&lt;N($E16))," ",""))</f>
        <v/>
      </c>
      <c r="AU16" s="23">
        <f>IF(AND(COUNT($E16),N(AU$2)=N($E16)),$E16,IF(AND(COUNT($E16),N(AU$2)&gt;=N($G$2),N(AU$2)&lt;N($E16))," ",""))</f>
        <v/>
      </c>
      <c r="AV16" s="23">
        <f>IF(AND(COUNT($E16),N(AV$2)=N($E16)),$E16,IF(AND(COUNT($E16),N(AV$2)&gt;=N($G$2),N(AV$2)&lt;N($E16))," ",""))</f>
        <v/>
      </c>
      <c r="AW16" s="23">
        <f>IF(AND(COUNT($E16),N(AW$2)=N($E16)),$E16,IF(AND(COUNT($E16),N(AW$2)&gt;=N($G$2),N(AW$2)&lt;N($E16))," ",""))</f>
        <v/>
      </c>
      <c r="AX16" s="23">
        <f>IF(AND(COUNT($E16),N(AX$2)=N($E16)),$E16,IF(AND(COUNT($E16),N(AX$2)&gt;=N($G$2),N(AX$2)&lt;N($E16))," ",""))</f>
        <v/>
      </c>
      <c r="AY16" s="23">
        <f>IF(AND(COUNT($E16),N(AY$2)=N($E16)),$E16,IF(AND(COUNT($E16),N(AY$2)&gt;=N($G$2),N(AY$2)&lt;N($E16))," ",""))</f>
        <v/>
      </c>
      <c r="AZ16" s="23">
        <f>IF(AND(COUNT($E16),N(AZ$2)=N($E16)),$E16,IF(AND(COUNT($E16),N(AZ$2)&gt;=N($G$2),N(AZ$2)&lt;N($E16))," ",""))</f>
        <v/>
      </c>
      <c r="BA16" s="23">
        <f>IF(AND(COUNT($E16),N(BA$2)=N($E16)),$E16,IF(AND(COUNT($E16),N(BA$2)&gt;=N($G$2),N(BA$2)&lt;N($E16))," ",""))</f>
        <v/>
      </c>
      <c r="BB16" s="23">
        <f>IF(AND(COUNT($E16),N(BB$2)=N($E16)),$E16,IF(AND(COUNT($E16),N(BB$2)&gt;=N($G$2),N(BB$2)&lt;N($E16))," ",""))</f>
        <v/>
      </c>
      <c r="BC16" s="23">
        <f>IF(AND(COUNT($E16),N(BC$2)=N($E16)),$E16,IF(AND(COUNT($E16),N(BC$2)&gt;=N($G$2),N(BC$2)&lt;N($E16))," ",""))</f>
        <v/>
      </c>
      <c r="BD16" s="23">
        <f>IF(AND(COUNT($E16),N(BD$2)=N($E16)),$E16,IF(AND(COUNT($E16),N(BD$2)&gt;=N($G$2),N(BD$2)&lt;N($E16))," ",""))</f>
        <v/>
      </c>
      <c r="BE16" s="23">
        <f>IF(AND(COUNT($E16),N(BE$2)=N($E16)),$E16,IF(AND(COUNT($E16),N(BE$2)&gt;=N($G$2),N(BE$2)&lt;N($E16))," ",""))</f>
        <v/>
      </c>
      <c r="BF16" s="23">
        <f>IF(AND(COUNT($E16),N(BF$2)=N($E16)),$E16,IF(AND(COUNT($E16),N(BF$2)&gt;=N($G$2),N(BF$2)&lt;N($E16))," ",""))</f>
        <v/>
      </c>
      <c r="BG16" s="23">
        <f>IF(AND(COUNT($E16),N(BG$2)=N($E16)),$E16,IF(AND(COUNT($E16),N(BG$2)&gt;=N($G$2),N(BG$2)&lt;N($E16))," ",""))</f>
        <v/>
      </c>
      <c r="BH16" s="23">
        <f>IF(AND(COUNT($E16),N(BH$2)=N($E16)),$E16,IF(AND(COUNT($E16),N(BH$2)&gt;=N($G$2),N(BH$2)&lt;N($E16))," ",""))</f>
        <v/>
      </c>
      <c r="BI16" s="23">
        <f>IF(AND(COUNT($E16),N(BI$2)=N($E16)),$E16,IF(AND(COUNT($E16),N(BI$2)&gt;=N($G$2),N(BI$2)&lt;N($E16))," ",""))</f>
        <v/>
      </c>
      <c r="BJ16" s="23">
        <f>IF(AND(COUNT($E16),N(BJ$2)=N($E16)),$E16,IF(AND(COUNT($E16),N(BJ$2)&gt;=N($G$2),N(BJ$2)&lt;N($E16))," ",""))</f>
        <v/>
      </c>
      <c r="BK16" s="23">
        <f>IF(AND(COUNT($E16),N(BK$2)=N($E16)),$E16,IF(AND(COUNT($E16),N(BK$2)&gt;=N($G$2),N(BK$2)&lt;N($E16))," ",""))</f>
        <v/>
      </c>
      <c r="BL16" s="23">
        <f>IF(AND(COUNT($E16),N(BL$2)=N($E16)),$E16,IF(AND(COUNT($E16),N(BL$2)&gt;=N($G$2),N(BL$2)&lt;N($E16))," ",""))</f>
        <v/>
      </c>
      <c r="BM16" s="23">
        <f>IF(AND(COUNT($E16),N(BM$2)=N($E16)),$E16,IF(AND(COUNT($E16),N(BM$2)&gt;=N($G$2),N(BM$2)&lt;N($E16))," ",""))</f>
        <v/>
      </c>
      <c r="BN16" s="23">
        <f>IF(AND(COUNT($E16),N(BN$2)=N($E16)),$E16,IF(AND(COUNT($E16),N(BN$2)&gt;=N($G$2),N(BN$2)&lt;N($E16))," ",""))</f>
        <v/>
      </c>
      <c r="BO16" s="23">
        <f>IF(AND(COUNT($E16),N(BO$2)=N($E16)),$E16,IF(AND(COUNT($E16),N(BO$2)&gt;=N($G$2),N(BO$2)&lt;N($E16))," ",""))</f>
        <v/>
      </c>
      <c r="BP16" s="23">
        <f>IF(AND(COUNT($E16),N(BP$2)=N($E16)),$E16,IF(AND(COUNT($E16),N(BP$2)&gt;=N($G$2),N(BP$2)&lt;N($E16))," ",""))</f>
        <v/>
      </c>
      <c r="BQ16" s="23">
        <f>IF(AND(COUNT($E16),N(BQ$2)=N($E16)),$E16,IF(AND(COUNT($E16),N(BQ$2)&gt;=N($G$2),N(BQ$2)&lt;N($E16))," ",""))</f>
        <v/>
      </c>
      <c r="BR16" s="23">
        <f>IF(AND(COUNT($E16),N(BR$2)=N($E16)),$E16,IF(AND(COUNT($E16),N(BR$2)&gt;=N($G$2),N(BR$2)&lt;N($E16))," ",""))</f>
        <v/>
      </c>
      <c r="BS16" s="23">
        <f>IF(AND(COUNT($E16),N(BS$2)=N($E16)),$E16,IF(AND(COUNT($E16),N(BS$2)&gt;=N($G$2),N(BS$2)&lt;N($E16))," ",""))</f>
        <v/>
      </c>
    </row>
    <row r="17" ht="20" customHeight="1">
      <c r="A17" s="21" t="inlineStr">
        <is>
          <t>预估</t>
        </is>
      </c>
      <c r="B17" s="21" t="inlineStr">
        <is>
          <t>第一期</t>
        </is>
      </c>
      <c r="C17" s="22" t="inlineStr">
        <is>
          <t>PAB060·工装实物到位</t>
        </is>
      </c>
      <c r="D17" s="23">
        <f>'时间节点计划表'!E9</f>
        <v/>
      </c>
      <c r="E17" s="23">
        <f>IF(COUNT('时间节点计划表'!F9),'时间节点计划表'!F9,"")</f>
        <v/>
      </c>
      <c r="F17" s="24" t="inlineStr"/>
      <c r="G17" s="25">
        <f>D17</f>
        <v/>
      </c>
      <c r="H17" s="26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7" t="n"/>
      <c r="AH17" s="28" t="n"/>
      <c r="AI17" s="28" t="n"/>
      <c r="AJ17" s="28" t="n"/>
      <c r="AK17" s="28" t="n"/>
      <c r="AL17" s="28" t="n"/>
      <c r="AM17" s="28" t="n"/>
      <c r="AN17" s="28" t="n"/>
      <c r="AO17" s="28" t="n"/>
      <c r="AP17" s="28" t="n"/>
      <c r="AQ17" s="28" t="n"/>
      <c r="AR17" s="28" t="n"/>
      <c r="AS17" s="28" t="n"/>
      <c r="AT17" s="28" t="n"/>
      <c r="AU17" s="28" t="n"/>
      <c r="AV17" s="28" t="n"/>
      <c r="AW17" s="28" t="n"/>
      <c r="AX17" s="28" t="n"/>
      <c r="AY17" s="28" t="n"/>
      <c r="AZ17" s="28" t="n"/>
      <c r="BA17" s="28" t="n"/>
      <c r="BB17" s="28" t="n"/>
      <c r="BC17" s="28" t="n"/>
      <c r="BD17" s="28" t="n"/>
      <c r="BE17" s="28" t="n"/>
      <c r="BF17" s="28" t="n"/>
      <c r="BG17" s="28" t="n"/>
      <c r="BH17" s="28" t="n"/>
      <c r="BI17" s="28" t="n"/>
      <c r="BJ17" s="28" t="n"/>
      <c r="BK17" s="28" t="n"/>
      <c r="BL17" s="28" t="n"/>
      <c r="BM17" s="28" t="n"/>
      <c r="BN17" s="28" t="n"/>
      <c r="BO17" s="28" t="n"/>
      <c r="BP17" s="28" t="n"/>
      <c r="BQ17" s="28" t="n"/>
      <c r="BR17" s="28" t="n"/>
      <c r="BS17" s="28" t="n"/>
    </row>
    <row r="18" ht="20" customHeight="1">
      <c r="A18" s="29" t="inlineStr">
        <is>
          <t>实际</t>
        </is>
      </c>
      <c r="B18" s="29" t="inlineStr">
        <is>
          <t>第一期</t>
        </is>
      </c>
      <c r="C18" s="30" t="inlineStr">
        <is>
          <t>PAB060·工装实物到位</t>
        </is>
      </c>
      <c r="D18" s="31">
        <f>'时间节点计划表'!E9</f>
        <v/>
      </c>
      <c r="E18" s="31">
        <f>IF(COUNT('时间节点计划表'!F9),'时间节点计划表'!F9,"")</f>
        <v/>
      </c>
      <c r="F18" s="32">
        <f>IF(OR(D18="",E18=""),"待填",E18-D18)</f>
        <v/>
      </c>
      <c r="G18" s="23">
        <f>IF(AND(COUNT($E18),N(G$2)=N($E18)),$E18,IF(AND(COUNT($E18),N(G$2)&gt;=N($G$2),N(G$2)&lt;N($E18))," ",""))</f>
        <v/>
      </c>
      <c r="H18" s="23">
        <f>IF(AND(COUNT($E18),N(H$2)=N($E18)),$E18,IF(AND(COUNT($E18),N(H$2)&gt;=N($G$2),N(H$2)&lt;N($E18))," ",""))</f>
        <v/>
      </c>
      <c r="I18" s="23">
        <f>IF(AND(COUNT($E18),N(I$2)=N($E18)),$E18,IF(AND(COUNT($E18),N(I$2)&gt;=N($G$2),N(I$2)&lt;N($E18))," ",""))</f>
        <v/>
      </c>
      <c r="J18" s="23">
        <f>IF(AND(COUNT($E18),N(J$2)=N($E18)),$E18,IF(AND(COUNT($E18),N(J$2)&gt;=N($G$2),N(J$2)&lt;N($E18))," ",""))</f>
        <v/>
      </c>
      <c r="K18" s="23">
        <f>IF(AND(COUNT($E18),N(K$2)=N($E18)),$E18,IF(AND(COUNT($E18),N(K$2)&gt;=N($G$2),N(K$2)&lt;N($E18))," ",""))</f>
        <v/>
      </c>
      <c r="L18" s="23">
        <f>IF(AND(COUNT($E18),N(L$2)=N($E18)),$E18,IF(AND(COUNT($E18),N(L$2)&gt;=N($G$2),N(L$2)&lt;N($E18))," ",""))</f>
        <v/>
      </c>
      <c r="M18" s="23">
        <f>IF(AND(COUNT($E18),N(M$2)=N($E18)),$E18,IF(AND(COUNT($E18),N(M$2)&gt;=N($G$2),N(M$2)&lt;N($E18))," ",""))</f>
        <v/>
      </c>
      <c r="N18" s="23">
        <f>IF(AND(COUNT($E18),N(N$2)=N($E18)),$E18,IF(AND(COUNT($E18),N(N$2)&gt;=N($G$2),N(N$2)&lt;N($E18))," ",""))</f>
        <v/>
      </c>
      <c r="O18" s="23">
        <f>IF(AND(COUNT($E18),N(O$2)=N($E18)),$E18,IF(AND(COUNT($E18),N(O$2)&gt;=N($G$2),N(O$2)&lt;N($E18))," ",""))</f>
        <v/>
      </c>
      <c r="P18" s="23">
        <f>IF(AND(COUNT($E18),N(P$2)=N($E18)),$E18,IF(AND(COUNT($E18),N(P$2)&gt;=N($G$2),N(P$2)&lt;N($E18))," ",""))</f>
        <v/>
      </c>
      <c r="Q18" s="23">
        <f>IF(AND(COUNT($E18),N(Q$2)=N($E18)),$E18,IF(AND(COUNT($E18),N(Q$2)&gt;=N($G$2),N(Q$2)&lt;N($E18))," ",""))</f>
        <v/>
      </c>
      <c r="R18" s="23">
        <f>IF(AND(COUNT($E18),N(R$2)=N($E18)),$E18,IF(AND(COUNT($E18),N(R$2)&gt;=N($G$2),N(R$2)&lt;N($E18))," ",""))</f>
        <v/>
      </c>
      <c r="S18" s="23">
        <f>IF(AND(COUNT($E18),N(S$2)=N($E18)),$E18,IF(AND(COUNT($E18),N(S$2)&gt;=N($G$2),N(S$2)&lt;N($E18))," ",""))</f>
        <v/>
      </c>
      <c r="T18" s="23">
        <f>IF(AND(COUNT($E18),N(T$2)=N($E18)),$E18,IF(AND(COUNT($E18),N(T$2)&gt;=N($G$2),N(T$2)&lt;N($E18))," ",""))</f>
        <v/>
      </c>
      <c r="U18" s="23">
        <f>IF(AND(COUNT($E18),N(U$2)=N($E18)),$E18,IF(AND(COUNT($E18),N(U$2)&gt;=N($G$2),N(U$2)&lt;N($E18))," ",""))</f>
        <v/>
      </c>
      <c r="V18" s="23">
        <f>IF(AND(COUNT($E18),N(V$2)=N($E18)),$E18,IF(AND(COUNT($E18),N(V$2)&gt;=N($G$2),N(V$2)&lt;N($E18))," ",""))</f>
        <v/>
      </c>
      <c r="W18" s="23">
        <f>IF(AND(COUNT($E18),N(W$2)=N($E18)),$E18,IF(AND(COUNT($E18),N(W$2)&gt;=N($G$2),N(W$2)&lt;N($E18))," ",""))</f>
        <v/>
      </c>
      <c r="X18" s="23">
        <f>IF(AND(COUNT($E18),N(X$2)=N($E18)),$E18,IF(AND(COUNT($E18),N(X$2)&gt;=N($G$2),N(X$2)&lt;N($E18))," ",""))</f>
        <v/>
      </c>
      <c r="Y18" s="23">
        <f>IF(AND(COUNT($E18),N(Y$2)=N($E18)),$E18,IF(AND(COUNT($E18),N(Y$2)&gt;=N($G$2),N(Y$2)&lt;N($E18))," ",""))</f>
        <v/>
      </c>
      <c r="Z18" s="23">
        <f>IF(AND(COUNT($E18),N(Z$2)=N($E18)),$E18,IF(AND(COUNT($E18),N(Z$2)&gt;=N($G$2),N(Z$2)&lt;N($E18))," ",""))</f>
        <v/>
      </c>
      <c r="AA18" s="23">
        <f>IF(AND(COUNT($E18),N(AA$2)=N($E18)),$E18,IF(AND(COUNT($E18),N(AA$2)&gt;=N($G$2),N(AA$2)&lt;N($E18))," ",""))</f>
        <v/>
      </c>
      <c r="AB18" s="23">
        <f>IF(AND(COUNT($E18),N(AB$2)=N($E18)),$E18,IF(AND(COUNT($E18),N(AB$2)&gt;=N($G$2),N(AB$2)&lt;N($E18))," ",""))</f>
        <v/>
      </c>
      <c r="AC18" s="23">
        <f>IF(AND(COUNT($E18),N(AC$2)=N($E18)),$E18,IF(AND(COUNT($E18),N(AC$2)&gt;=N($G$2),N(AC$2)&lt;N($E18))," ",""))</f>
        <v/>
      </c>
      <c r="AD18" s="23">
        <f>IF(AND(COUNT($E18),N(AD$2)=N($E18)),$E18,IF(AND(COUNT($E18),N(AD$2)&gt;=N($G$2),N(AD$2)&lt;N($E18))," ",""))</f>
        <v/>
      </c>
      <c r="AE18" s="23">
        <f>IF(AND(COUNT($E18),N(AE$2)=N($E18)),$E18,IF(AND(COUNT($E18),N(AE$2)&gt;=N($G$2),N(AE$2)&lt;N($E18))," ",""))</f>
        <v/>
      </c>
      <c r="AF18" s="23">
        <f>IF(AND(COUNT($E18),N(AF$2)=N($E18)),$E18,IF(AND(COUNT($E18),N(AF$2)&gt;=N($G$2),N(AF$2)&lt;N($E18))," ",""))</f>
        <v/>
      </c>
      <c r="AG18" s="23">
        <f>IF(AND(COUNT($E18),N(AG$2)=N($E18)),$E18,IF(AND(COUNT($E18),N(AG$2)&gt;=N($G$2),N(AG$2)&lt;N($E18))," ",""))</f>
        <v/>
      </c>
      <c r="AH18" s="23">
        <f>IF(AND(COUNT($E18),N(AH$2)=N($E18)),$E18,IF(AND(COUNT($E18),N(AH$2)&gt;=N($G$2),N(AH$2)&lt;N($E18))," ",""))</f>
        <v/>
      </c>
      <c r="AI18" s="23">
        <f>IF(AND(COUNT($E18),N(AI$2)=N($E18)),$E18,IF(AND(COUNT($E18),N(AI$2)&gt;=N($G$2),N(AI$2)&lt;N($E18))," ",""))</f>
        <v/>
      </c>
      <c r="AJ18" s="23">
        <f>IF(AND(COUNT($E18),N(AJ$2)=N($E18)),$E18,IF(AND(COUNT($E18),N(AJ$2)&gt;=N($G$2),N(AJ$2)&lt;N($E18))," ",""))</f>
        <v/>
      </c>
      <c r="AK18" s="23">
        <f>IF(AND(COUNT($E18),N(AK$2)=N($E18)),$E18,IF(AND(COUNT($E18),N(AK$2)&gt;=N($G$2),N(AK$2)&lt;N($E18))," ",""))</f>
        <v/>
      </c>
      <c r="AL18" s="23">
        <f>IF(AND(COUNT($E18),N(AL$2)=N($E18)),$E18,IF(AND(COUNT($E18),N(AL$2)&gt;=N($G$2),N(AL$2)&lt;N($E18))," ",""))</f>
        <v/>
      </c>
      <c r="AM18" s="23">
        <f>IF(AND(COUNT($E18),N(AM$2)=N($E18)),$E18,IF(AND(COUNT($E18),N(AM$2)&gt;=N($G$2),N(AM$2)&lt;N($E18))," ",""))</f>
        <v/>
      </c>
      <c r="AN18" s="23">
        <f>IF(AND(COUNT($E18),N(AN$2)=N($E18)),$E18,IF(AND(COUNT($E18),N(AN$2)&gt;=N($G$2),N(AN$2)&lt;N($E18))," ",""))</f>
        <v/>
      </c>
      <c r="AO18" s="23">
        <f>IF(AND(COUNT($E18),N(AO$2)=N($E18)),$E18,IF(AND(COUNT($E18),N(AO$2)&gt;=N($G$2),N(AO$2)&lt;N($E18))," ",""))</f>
        <v/>
      </c>
      <c r="AP18" s="23">
        <f>IF(AND(COUNT($E18),N(AP$2)=N($E18)),$E18,IF(AND(COUNT($E18),N(AP$2)&gt;=N($G$2),N(AP$2)&lt;N($E18))," ",""))</f>
        <v/>
      </c>
      <c r="AQ18" s="23">
        <f>IF(AND(COUNT($E18),N(AQ$2)=N($E18)),$E18,IF(AND(COUNT($E18),N(AQ$2)&gt;=N($G$2),N(AQ$2)&lt;N($E18))," ",""))</f>
        <v/>
      </c>
      <c r="AR18" s="23">
        <f>IF(AND(COUNT($E18),N(AR$2)=N($E18)),$E18,IF(AND(COUNT($E18),N(AR$2)&gt;=N($G$2),N(AR$2)&lt;N($E18))," ",""))</f>
        <v/>
      </c>
      <c r="AS18" s="23">
        <f>IF(AND(COUNT($E18),N(AS$2)=N($E18)),$E18,IF(AND(COUNT($E18),N(AS$2)&gt;=N($G$2),N(AS$2)&lt;N($E18))," ",""))</f>
        <v/>
      </c>
      <c r="AT18" s="23">
        <f>IF(AND(COUNT($E18),N(AT$2)=N($E18)),$E18,IF(AND(COUNT($E18),N(AT$2)&gt;=N($G$2),N(AT$2)&lt;N($E18))," ",""))</f>
        <v/>
      </c>
      <c r="AU18" s="23">
        <f>IF(AND(COUNT($E18),N(AU$2)=N($E18)),$E18,IF(AND(COUNT($E18),N(AU$2)&gt;=N($G$2),N(AU$2)&lt;N($E18))," ",""))</f>
        <v/>
      </c>
      <c r="AV18" s="23">
        <f>IF(AND(COUNT($E18),N(AV$2)=N($E18)),$E18,IF(AND(COUNT($E18),N(AV$2)&gt;=N($G$2),N(AV$2)&lt;N($E18))," ",""))</f>
        <v/>
      </c>
      <c r="AW18" s="23">
        <f>IF(AND(COUNT($E18),N(AW$2)=N($E18)),$E18,IF(AND(COUNT($E18),N(AW$2)&gt;=N($G$2),N(AW$2)&lt;N($E18))," ",""))</f>
        <v/>
      </c>
      <c r="AX18" s="23">
        <f>IF(AND(COUNT($E18),N(AX$2)=N($E18)),$E18,IF(AND(COUNT($E18),N(AX$2)&gt;=N($G$2),N(AX$2)&lt;N($E18))," ",""))</f>
        <v/>
      </c>
      <c r="AY18" s="23">
        <f>IF(AND(COUNT($E18),N(AY$2)=N($E18)),$E18,IF(AND(COUNT($E18),N(AY$2)&gt;=N($G$2),N(AY$2)&lt;N($E18))," ",""))</f>
        <v/>
      </c>
      <c r="AZ18" s="23">
        <f>IF(AND(COUNT($E18),N(AZ$2)=N($E18)),$E18,IF(AND(COUNT($E18),N(AZ$2)&gt;=N($G$2),N(AZ$2)&lt;N($E18))," ",""))</f>
        <v/>
      </c>
      <c r="BA18" s="23">
        <f>IF(AND(COUNT($E18),N(BA$2)=N($E18)),$E18,IF(AND(COUNT($E18),N(BA$2)&gt;=N($G$2),N(BA$2)&lt;N($E18))," ",""))</f>
        <v/>
      </c>
      <c r="BB18" s="23">
        <f>IF(AND(COUNT($E18),N(BB$2)=N($E18)),$E18,IF(AND(COUNT($E18),N(BB$2)&gt;=N($G$2),N(BB$2)&lt;N($E18))," ",""))</f>
        <v/>
      </c>
      <c r="BC18" s="23">
        <f>IF(AND(COUNT($E18),N(BC$2)=N($E18)),$E18,IF(AND(COUNT($E18),N(BC$2)&gt;=N($G$2),N(BC$2)&lt;N($E18))," ",""))</f>
        <v/>
      </c>
      <c r="BD18" s="23">
        <f>IF(AND(COUNT($E18),N(BD$2)=N($E18)),$E18,IF(AND(COUNT($E18),N(BD$2)&gt;=N($G$2),N(BD$2)&lt;N($E18))," ",""))</f>
        <v/>
      </c>
      <c r="BE18" s="23">
        <f>IF(AND(COUNT($E18),N(BE$2)=N($E18)),$E18,IF(AND(COUNT($E18),N(BE$2)&gt;=N($G$2),N(BE$2)&lt;N($E18))," ",""))</f>
        <v/>
      </c>
      <c r="BF18" s="23">
        <f>IF(AND(COUNT($E18),N(BF$2)=N($E18)),$E18,IF(AND(COUNT($E18),N(BF$2)&gt;=N($G$2),N(BF$2)&lt;N($E18))," ",""))</f>
        <v/>
      </c>
      <c r="BG18" s="23">
        <f>IF(AND(COUNT($E18),N(BG$2)=N($E18)),$E18,IF(AND(COUNT($E18),N(BG$2)&gt;=N($G$2),N(BG$2)&lt;N($E18))," ",""))</f>
        <v/>
      </c>
      <c r="BH18" s="23">
        <f>IF(AND(COUNT($E18),N(BH$2)=N($E18)),$E18,IF(AND(COUNT($E18),N(BH$2)&gt;=N($G$2),N(BH$2)&lt;N($E18))," ",""))</f>
        <v/>
      </c>
      <c r="BI18" s="23">
        <f>IF(AND(COUNT($E18),N(BI$2)=N($E18)),$E18,IF(AND(COUNT($E18),N(BI$2)&gt;=N($G$2),N(BI$2)&lt;N($E18))," ",""))</f>
        <v/>
      </c>
      <c r="BJ18" s="23">
        <f>IF(AND(COUNT($E18),N(BJ$2)=N($E18)),$E18,IF(AND(COUNT($E18),N(BJ$2)&gt;=N($G$2),N(BJ$2)&lt;N($E18))," ",""))</f>
        <v/>
      </c>
      <c r="BK18" s="23">
        <f>IF(AND(COUNT($E18),N(BK$2)=N($E18)),$E18,IF(AND(COUNT($E18),N(BK$2)&gt;=N($G$2),N(BK$2)&lt;N($E18))," ",""))</f>
        <v/>
      </c>
      <c r="BL18" s="23">
        <f>IF(AND(COUNT($E18),N(BL$2)=N($E18)),$E18,IF(AND(COUNT($E18),N(BL$2)&gt;=N($G$2),N(BL$2)&lt;N($E18))," ",""))</f>
        <v/>
      </c>
      <c r="BM18" s="23">
        <f>IF(AND(COUNT($E18),N(BM$2)=N($E18)),$E18,IF(AND(COUNT($E18),N(BM$2)&gt;=N($G$2),N(BM$2)&lt;N($E18))," ",""))</f>
        <v/>
      </c>
      <c r="BN18" s="23">
        <f>IF(AND(COUNT($E18),N(BN$2)=N($E18)),$E18,IF(AND(COUNT($E18),N(BN$2)&gt;=N($G$2),N(BN$2)&lt;N($E18))," ",""))</f>
        <v/>
      </c>
      <c r="BO18" s="23">
        <f>IF(AND(COUNT($E18),N(BO$2)=N($E18)),$E18,IF(AND(COUNT($E18),N(BO$2)&gt;=N($G$2),N(BO$2)&lt;N($E18))," ",""))</f>
        <v/>
      </c>
      <c r="BP18" s="23">
        <f>IF(AND(COUNT($E18),N(BP$2)=N($E18)),$E18,IF(AND(COUNT($E18),N(BP$2)&gt;=N($G$2),N(BP$2)&lt;N($E18))," ",""))</f>
        <v/>
      </c>
      <c r="BQ18" s="23">
        <f>IF(AND(COUNT($E18),N(BQ$2)=N($E18)),$E18,IF(AND(COUNT($E18),N(BQ$2)&gt;=N($G$2),N(BQ$2)&lt;N($E18))," ",""))</f>
        <v/>
      </c>
      <c r="BR18" s="23">
        <f>IF(AND(COUNT($E18),N(BR$2)=N($E18)),$E18,IF(AND(COUNT($E18),N(BR$2)&gt;=N($G$2),N(BR$2)&lt;N($E18))," ",""))</f>
        <v/>
      </c>
      <c r="BS18" s="23">
        <f>IF(AND(COUNT($E18),N(BS$2)=N($E18)),$E18,IF(AND(COUNT($E18),N(BS$2)&gt;=N($G$2),N(BS$2)&lt;N($E18))," ",""))</f>
        <v/>
      </c>
    </row>
    <row r="19" ht="20" customHeight="1">
      <c r="A19" s="21" t="inlineStr">
        <is>
          <t>预估</t>
        </is>
      </c>
      <c r="B19" s="21" t="inlineStr">
        <is>
          <t>第一期</t>
        </is>
      </c>
      <c r="C19" s="22" t="inlineStr">
        <is>
          <t>PAB060·排针机安装调试</t>
        </is>
      </c>
      <c r="D19" s="23">
        <f>'时间节点计划表'!E10</f>
        <v/>
      </c>
      <c r="E19" s="23">
        <f>IF(COUNT('时间节点计划表'!F10),'时间节点计划表'!F10,"")</f>
        <v/>
      </c>
      <c r="F19" s="24" t="inlineStr"/>
      <c r="G19" s="25">
        <f>D19</f>
        <v/>
      </c>
      <c r="H19" s="26" t="n"/>
      <c r="I19" s="26" t="n"/>
      <c r="J19" s="26" t="n"/>
      <c r="K19" s="26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6" t="n"/>
      <c r="AL19" s="26" t="n"/>
      <c r="AM19" s="26" t="n"/>
      <c r="AN19" s="26" t="n"/>
      <c r="AO19" s="26" t="n"/>
      <c r="AP19" s="27" t="n"/>
      <c r="AQ19" s="28" t="n"/>
      <c r="AR19" s="28" t="n"/>
      <c r="AS19" s="28" t="n"/>
      <c r="AT19" s="28" t="n"/>
      <c r="AU19" s="28" t="n"/>
      <c r="AV19" s="28" t="n"/>
      <c r="AW19" s="28" t="n"/>
      <c r="AX19" s="28" t="n"/>
      <c r="AY19" s="28" t="n"/>
      <c r="AZ19" s="28" t="n"/>
      <c r="BA19" s="28" t="n"/>
      <c r="BB19" s="28" t="n"/>
      <c r="BC19" s="28" t="n"/>
      <c r="BD19" s="28" t="n"/>
      <c r="BE19" s="28" t="n"/>
      <c r="BF19" s="28" t="n"/>
      <c r="BG19" s="28" t="n"/>
      <c r="BH19" s="28" t="n"/>
      <c r="BI19" s="28" t="n"/>
      <c r="BJ19" s="28" t="n"/>
      <c r="BK19" s="28" t="n"/>
      <c r="BL19" s="28" t="n"/>
      <c r="BM19" s="28" t="n"/>
      <c r="BN19" s="28" t="n"/>
      <c r="BO19" s="28" t="n"/>
      <c r="BP19" s="28" t="n"/>
      <c r="BQ19" s="28" t="n"/>
      <c r="BR19" s="28" t="n"/>
      <c r="BS19" s="28" t="n"/>
    </row>
    <row r="20" ht="20" customHeight="1">
      <c r="A20" s="29" t="inlineStr">
        <is>
          <t>实际</t>
        </is>
      </c>
      <c r="B20" s="29" t="inlineStr">
        <is>
          <t>第一期</t>
        </is>
      </c>
      <c r="C20" s="30" t="inlineStr">
        <is>
          <t>PAB060·排针机安装调试</t>
        </is>
      </c>
      <c r="D20" s="31">
        <f>'时间节点计划表'!E10</f>
        <v/>
      </c>
      <c r="E20" s="31">
        <f>IF(COUNT('时间节点计划表'!F10),'时间节点计划表'!F10,"")</f>
        <v/>
      </c>
      <c r="F20" s="32">
        <f>IF(OR(D20="",E20=""),"待填",E20-D20)</f>
        <v/>
      </c>
      <c r="G20" s="23">
        <f>IF(AND(COUNT($E20),N(G$2)=N($E20)),$E20,IF(AND(COUNT($E20),N(G$2)&gt;=N($G$2),N(G$2)&lt;N($E20))," ",""))</f>
        <v/>
      </c>
      <c r="H20" s="23">
        <f>IF(AND(COUNT($E20),N(H$2)=N($E20)),$E20,IF(AND(COUNT($E20),N(H$2)&gt;=N($G$2),N(H$2)&lt;N($E20))," ",""))</f>
        <v/>
      </c>
      <c r="I20" s="23">
        <f>IF(AND(COUNT($E20),N(I$2)=N($E20)),$E20,IF(AND(COUNT($E20),N(I$2)&gt;=N($G$2),N(I$2)&lt;N($E20))," ",""))</f>
        <v/>
      </c>
      <c r="J20" s="23">
        <f>IF(AND(COUNT($E20),N(J$2)=N($E20)),$E20,IF(AND(COUNT($E20),N(J$2)&gt;=N($G$2),N(J$2)&lt;N($E20))," ",""))</f>
        <v/>
      </c>
      <c r="K20" s="23">
        <f>IF(AND(COUNT($E20),N(K$2)=N($E20)),$E20,IF(AND(COUNT($E20),N(K$2)&gt;=N($G$2),N(K$2)&lt;N($E20))," ",""))</f>
        <v/>
      </c>
      <c r="L20" s="23">
        <f>IF(AND(COUNT($E20),N(L$2)=N($E20)),$E20,IF(AND(COUNT($E20),N(L$2)&gt;=N($G$2),N(L$2)&lt;N($E20))," ",""))</f>
        <v/>
      </c>
      <c r="M20" s="23">
        <f>IF(AND(COUNT($E20),N(M$2)=N($E20)),$E20,IF(AND(COUNT($E20),N(M$2)&gt;=N($G$2),N(M$2)&lt;N($E20))," ",""))</f>
        <v/>
      </c>
      <c r="N20" s="23">
        <f>IF(AND(COUNT($E20),N(N$2)=N($E20)),$E20,IF(AND(COUNT($E20),N(N$2)&gt;=N($G$2),N(N$2)&lt;N($E20))," ",""))</f>
        <v/>
      </c>
      <c r="O20" s="23">
        <f>IF(AND(COUNT($E20),N(O$2)=N($E20)),$E20,IF(AND(COUNT($E20),N(O$2)&gt;=N($G$2),N(O$2)&lt;N($E20))," ",""))</f>
        <v/>
      </c>
      <c r="P20" s="23">
        <f>IF(AND(COUNT($E20),N(P$2)=N($E20)),$E20,IF(AND(COUNT($E20),N(P$2)&gt;=N($G$2),N(P$2)&lt;N($E20))," ",""))</f>
        <v/>
      </c>
      <c r="Q20" s="23">
        <f>IF(AND(COUNT($E20),N(Q$2)=N($E20)),$E20,IF(AND(COUNT($E20),N(Q$2)&gt;=N($G$2),N(Q$2)&lt;N($E20))," ",""))</f>
        <v/>
      </c>
      <c r="R20" s="23">
        <f>IF(AND(COUNT($E20),N(R$2)=N($E20)),$E20,IF(AND(COUNT($E20),N(R$2)&gt;=N($G$2),N(R$2)&lt;N($E20))," ",""))</f>
        <v/>
      </c>
      <c r="S20" s="23">
        <f>IF(AND(COUNT($E20),N(S$2)=N($E20)),$E20,IF(AND(COUNT($E20),N(S$2)&gt;=N($G$2),N(S$2)&lt;N($E20))," ",""))</f>
        <v/>
      </c>
      <c r="T20" s="23">
        <f>IF(AND(COUNT($E20),N(T$2)=N($E20)),$E20,IF(AND(COUNT($E20),N(T$2)&gt;=N($G$2),N(T$2)&lt;N($E20))," ",""))</f>
        <v/>
      </c>
      <c r="U20" s="23">
        <f>IF(AND(COUNT($E20),N(U$2)=N($E20)),$E20,IF(AND(COUNT($E20),N(U$2)&gt;=N($G$2),N(U$2)&lt;N($E20))," ",""))</f>
        <v/>
      </c>
      <c r="V20" s="23">
        <f>IF(AND(COUNT($E20),N(V$2)=N($E20)),$E20,IF(AND(COUNT($E20),N(V$2)&gt;=N($G$2),N(V$2)&lt;N($E20))," ",""))</f>
        <v/>
      </c>
      <c r="W20" s="23">
        <f>IF(AND(COUNT($E20),N(W$2)=N($E20)),$E20,IF(AND(COUNT($E20),N(W$2)&gt;=N($G$2),N(W$2)&lt;N($E20))," ",""))</f>
        <v/>
      </c>
      <c r="X20" s="23">
        <f>IF(AND(COUNT($E20),N(X$2)=N($E20)),$E20,IF(AND(COUNT($E20),N(X$2)&gt;=N($G$2),N(X$2)&lt;N($E20))," ",""))</f>
        <v/>
      </c>
      <c r="Y20" s="23">
        <f>IF(AND(COUNT($E20),N(Y$2)=N($E20)),$E20,IF(AND(COUNT($E20),N(Y$2)&gt;=N($G$2),N(Y$2)&lt;N($E20))," ",""))</f>
        <v/>
      </c>
      <c r="Z20" s="23">
        <f>IF(AND(COUNT($E20),N(Z$2)=N($E20)),$E20,IF(AND(COUNT($E20),N(Z$2)&gt;=N($G$2),N(Z$2)&lt;N($E20))," ",""))</f>
        <v/>
      </c>
      <c r="AA20" s="23">
        <f>IF(AND(COUNT($E20),N(AA$2)=N($E20)),$E20,IF(AND(COUNT($E20),N(AA$2)&gt;=N($G$2),N(AA$2)&lt;N($E20))," ",""))</f>
        <v/>
      </c>
      <c r="AB20" s="23">
        <f>IF(AND(COUNT($E20),N(AB$2)=N($E20)),$E20,IF(AND(COUNT($E20),N(AB$2)&gt;=N($G$2),N(AB$2)&lt;N($E20))," ",""))</f>
        <v/>
      </c>
      <c r="AC20" s="23">
        <f>IF(AND(COUNT($E20),N(AC$2)=N($E20)),$E20,IF(AND(COUNT($E20),N(AC$2)&gt;=N($G$2),N(AC$2)&lt;N($E20))," ",""))</f>
        <v/>
      </c>
      <c r="AD20" s="23">
        <f>IF(AND(COUNT($E20),N(AD$2)=N($E20)),$E20,IF(AND(COUNT($E20),N(AD$2)&gt;=N($G$2),N(AD$2)&lt;N($E20))," ",""))</f>
        <v/>
      </c>
      <c r="AE20" s="23">
        <f>IF(AND(COUNT($E20),N(AE$2)=N($E20)),$E20,IF(AND(COUNT($E20),N(AE$2)&gt;=N($G$2),N(AE$2)&lt;N($E20))," ",""))</f>
        <v/>
      </c>
      <c r="AF20" s="23">
        <f>IF(AND(COUNT($E20),N(AF$2)=N($E20)),$E20,IF(AND(COUNT($E20),N(AF$2)&gt;=N($G$2),N(AF$2)&lt;N($E20))," ",""))</f>
        <v/>
      </c>
      <c r="AG20" s="23">
        <f>IF(AND(COUNT($E20),N(AG$2)=N($E20)),$E20,IF(AND(COUNT($E20),N(AG$2)&gt;=N($G$2),N(AG$2)&lt;N($E20))," ",""))</f>
        <v/>
      </c>
      <c r="AH20" s="23">
        <f>IF(AND(COUNT($E20),N(AH$2)=N($E20)),$E20,IF(AND(COUNT($E20),N(AH$2)&gt;=N($G$2),N(AH$2)&lt;N($E20))," ",""))</f>
        <v/>
      </c>
      <c r="AI20" s="23">
        <f>IF(AND(COUNT($E20),N(AI$2)=N($E20)),$E20,IF(AND(COUNT($E20),N(AI$2)&gt;=N($G$2),N(AI$2)&lt;N($E20))," ",""))</f>
        <v/>
      </c>
      <c r="AJ20" s="23">
        <f>IF(AND(COUNT($E20),N(AJ$2)=N($E20)),$E20,IF(AND(COUNT($E20),N(AJ$2)&gt;=N($G$2),N(AJ$2)&lt;N($E20))," ",""))</f>
        <v/>
      </c>
      <c r="AK20" s="23">
        <f>IF(AND(COUNT($E20),N(AK$2)=N($E20)),$E20,IF(AND(COUNT($E20),N(AK$2)&gt;=N($G$2),N(AK$2)&lt;N($E20))," ",""))</f>
        <v/>
      </c>
      <c r="AL20" s="23">
        <f>IF(AND(COUNT($E20),N(AL$2)=N($E20)),$E20,IF(AND(COUNT($E20),N(AL$2)&gt;=N($G$2),N(AL$2)&lt;N($E20))," ",""))</f>
        <v/>
      </c>
      <c r="AM20" s="23">
        <f>IF(AND(COUNT($E20),N(AM$2)=N($E20)),$E20,IF(AND(COUNT($E20),N(AM$2)&gt;=N($G$2),N(AM$2)&lt;N($E20))," ",""))</f>
        <v/>
      </c>
      <c r="AN20" s="23">
        <f>IF(AND(COUNT($E20),N(AN$2)=N($E20)),$E20,IF(AND(COUNT($E20),N(AN$2)&gt;=N($G$2),N(AN$2)&lt;N($E20))," ",""))</f>
        <v/>
      </c>
      <c r="AO20" s="23">
        <f>IF(AND(COUNT($E20),N(AO$2)=N($E20)),$E20,IF(AND(COUNT($E20),N(AO$2)&gt;=N($G$2),N(AO$2)&lt;N($E20))," ",""))</f>
        <v/>
      </c>
      <c r="AP20" s="23">
        <f>IF(AND(COUNT($E20),N(AP$2)=N($E20)),$E20,IF(AND(COUNT($E20),N(AP$2)&gt;=N($G$2),N(AP$2)&lt;N($E20))," ",""))</f>
        <v/>
      </c>
      <c r="AQ20" s="23">
        <f>IF(AND(COUNT($E20),N(AQ$2)=N($E20)),$E20,IF(AND(COUNT($E20),N(AQ$2)&gt;=N($G$2),N(AQ$2)&lt;N($E20))," ",""))</f>
        <v/>
      </c>
      <c r="AR20" s="23">
        <f>IF(AND(COUNT($E20),N(AR$2)=N($E20)),$E20,IF(AND(COUNT($E20),N(AR$2)&gt;=N($G$2),N(AR$2)&lt;N($E20))," ",""))</f>
        <v/>
      </c>
      <c r="AS20" s="23">
        <f>IF(AND(COUNT($E20),N(AS$2)=N($E20)),$E20,IF(AND(COUNT($E20),N(AS$2)&gt;=N($G$2),N(AS$2)&lt;N($E20))," ",""))</f>
        <v/>
      </c>
      <c r="AT20" s="23">
        <f>IF(AND(COUNT($E20),N(AT$2)=N($E20)),$E20,IF(AND(COUNT($E20),N(AT$2)&gt;=N($G$2),N(AT$2)&lt;N($E20))," ",""))</f>
        <v/>
      </c>
      <c r="AU20" s="23">
        <f>IF(AND(COUNT($E20),N(AU$2)=N($E20)),$E20,IF(AND(COUNT($E20),N(AU$2)&gt;=N($G$2),N(AU$2)&lt;N($E20))," ",""))</f>
        <v/>
      </c>
      <c r="AV20" s="23">
        <f>IF(AND(COUNT($E20),N(AV$2)=N($E20)),$E20,IF(AND(COUNT($E20),N(AV$2)&gt;=N($G$2),N(AV$2)&lt;N($E20))," ",""))</f>
        <v/>
      </c>
      <c r="AW20" s="23">
        <f>IF(AND(COUNT($E20),N(AW$2)=N($E20)),$E20,IF(AND(COUNT($E20),N(AW$2)&gt;=N($G$2),N(AW$2)&lt;N($E20))," ",""))</f>
        <v/>
      </c>
      <c r="AX20" s="23">
        <f>IF(AND(COUNT($E20),N(AX$2)=N($E20)),$E20,IF(AND(COUNT($E20),N(AX$2)&gt;=N($G$2),N(AX$2)&lt;N($E20))," ",""))</f>
        <v/>
      </c>
      <c r="AY20" s="23">
        <f>IF(AND(COUNT($E20),N(AY$2)=N($E20)),$E20,IF(AND(COUNT($E20),N(AY$2)&gt;=N($G$2),N(AY$2)&lt;N($E20))," ",""))</f>
        <v/>
      </c>
      <c r="AZ20" s="23">
        <f>IF(AND(COUNT($E20),N(AZ$2)=N($E20)),$E20,IF(AND(COUNT($E20),N(AZ$2)&gt;=N($G$2),N(AZ$2)&lt;N($E20))," ",""))</f>
        <v/>
      </c>
      <c r="BA20" s="23">
        <f>IF(AND(COUNT($E20),N(BA$2)=N($E20)),$E20,IF(AND(COUNT($E20),N(BA$2)&gt;=N($G$2),N(BA$2)&lt;N($E20))," ",""))</f>
        <v/>
      </c>
      <c r="BB20" s="23">
        <f>IF(AND(COUNT($E20),N(BB$2)=N($E20)),$E20,IF(AND(COUNT($E20),N(BB$2)&gt;=N($G$2),N(BB$2)&lt;N($E20))," ",""))</f>
        <v/>
      </c>
      <c r="BC20" s="23">
        <f>IF(AND(COUNT($E20),N(BC$2)=N($E20)),$E20,IF(AND(COUNT($E20),N(BC$2)&gt;=N($G$2),N(BC$2)&lt;N($E20))," ",""))</f>
        <v/>
      </c>
      <c r="BD20" s="23">
        <f>IF(AND(COUNT($E20),N(BD$2)=N($E20)),$E20,IF(AND(COUNT($E20),N(BD$2)&gt;=N($G$2),N(BD$2)&lt;N($E20))," ",""))</f>
        <v/>
      </c>
      <c r="BE20" s="23">
        <f>IF(AND(COUNT($E20),N(BE$2)=N($E20)),$E20,IF(AND(COUNT($E20),N(BE$2)&gt;=N($G$2),N(BE$2)&lt;N($E20))," ",""))</f>
        <v/>
      </c>
      <c r="BF20" s="23">
        <f>IF(AND(COUNT($E20),N(BF$2)=N($E20)),$E20,IF(AND(COUNT($E20),N(BF$2)&gt;=N($G$2),N(BF$2)&lt;N($E20))," ",""))</f>
        <v/>
      </c>
      <c r="BG20" s="23">
        <f>IF(AND(COUNT($E20),N(BG$2)=N($E20)),$E20,IF(AND(COUNT($E20),N(BG$2)&gt;=N($G$2),N(BG$2)&lt;N($E20))," ",""))</f>
        <v/>
      </c>
      <c r="BH20" s="23">
        <f>IF(AND(COUNT($E20),N(BH$2)=N($E20)),$E20,IF(AND(COUNT($E20),N(BH$2)&gt;=N($G$2),N(BH$2)&lt;N($E20))," ",""))</f>
        <v/>
      </c>
      <c r="BI20" s="23">
        <f>IF(AND(COUNT($E20),N(BI$2)=N($E20)),$E20,IF(AND(COUNT($E20),N(BI$2)&gt;=N($G$2),N(BI$2)&lt;N($E20))," ",""))</f>
        <v/>
      </c>
      <c r="BJ20" s="23">
        <f>IF(AND(COUNT($E20),N(BJ$2)=N($E20)),$E20,IF(AND(COUNT($E20),N(BJ$2)&gt;=N($G$2),N(BJ$2)&lt;N($E20))," ",""))</f>
        <v/>
      </c>
      <c r="BK20" s="23">
        <f>IF(AND(COUNT($E20),N(BK$2)=N($E20)),$E20,IF(AND(COUNT($E20),N(BK$2)&gt;=N($G$2),N(BK$2)&lt;N($E20))," ",""))</f>
        <v/>
      </c>
      <c r="BL20" s="23">
        <f>IF(AND(COUNT($E20),N(BL$2)=N($E20)),$E20,IF(AND(COUNT($E20),N(BL$2)&gt;=N($G$2),N(BL$2)&lt;N($E20))," ",""))</f>
        <v/>
      </c>
      <c r="BM20" s="23">
        <f>IF(AND(COUNT($E20),N(BM$2)=N($E20)),$E20,IF(AND(COUNT($E20),N(BM$2)&gt;=N($G$2),N(BM$2)&lt;N($E20))," ",""))</f>
        <v/>
      </c>
      <c r="BN20" s="23">
        <f>IF(AND(COUNT($E20),N(BN$2)=N($E20)),$E20,IF(AND(COUNT($E20),N(BN$2)&gt;=N($G$2),N(BN$2)&lt;N($E20))," ",""))</f>
        <v/>
      </c>
      <c r="BO20" s="23">
        <f>IF(AND(COUNT($E20),N(BO$2)=N($E20)),$E20,IF(AND(COUNT($E20),N(BO$2)&gt;=N($G$2),N(BO$2)&lt;N($E20))," ",""))</f>
        <v/>
      </c>
      <c r="BP20" s="23">
        <f>IF(AND(COUNT($E20),N(BP$2)=N($E20)),$E20,IF(AND(COUNT($E20),N(BP$2)&gt;=N($G$2),N(BP$2)&lt;N($E20))," ",""))</f>
        <v/>
      </c>
      <c r="BQ20" s="23">
        <f>IF(AND(COUNT($E20),N(BQ$2)=N($E20)),$E20,IF(AND(COUNT($E20),N(BQ$2)&gt;=N($G$2),N(BQ$2)&lt;N($E20))," ",""))</f>
        <v/>
      </c>
      <c r="BR20" s="23">
        <f>IF(AND(COUNT($E20),N(BR$2)=N($E20)),$E20,IF(AND(COUNT($E20),N(BR$2)&gt;=N($G$2),N(BR$2)&lt;N($E20))," ",""))</f>
        <v/>
      </c>
      <c r="BS20" s="23">
        <f>IF(AND(COUNT($E20),N(BS$2)=N($E20)),$E20,IF(AND(COUNT($E20),N(BS$2)&gt;=N($G$2),N(BS$2)&lt;N($E20))," ",""))</f>
        <v/>
      </c>
    </row>
    <row r="21" ht="20" customHeight="1">
      <c r="A21" s="21" t="inlineStr">
        <is>
          <t>预估</t>
        </is>
      </c>
      <c r="B21" s="21" t="inlineStr">
        <is>
          <t>第一期</t>
        </is>
      </c>
      <c r="C21" s="22" t="inlineStr">
        <is>
          <t>PAB060·单级样机</t>
        </is>
      </c>
      <c r="D21" s="23">
        <f>'时间节点计划表'!E11</f>
        <v/>
      </c>
      <c r="E21" s="23">
        <f>IF(COUNT('时间节点计划表'!F11),'时间节点计划表'!F11,"")</f>
        <v/>
      </c>
      <c r="F21" s="24" t="inlineStr"/>
      <c r="G21" s="25">
        <f>D21</f>
        <v/>
      </c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  <c r="AO21" s="26" t="n"/>
      <c r="AP21" s="26" t="n"/>
      <c r="AQ21" s="26" t="n"/>
      <c r="AR21" s="27" t="n"/>
      <c r="AS21" s="28" t="n"/>
      <c r="AT21" s="28" t="n"/>
      <c r="AU21" s="28" t="n"/>
      <c r="AV21" s="28" t="n"/>
      <c r="AW21" s="28" t="n"/>
      <c r="AX21" s="28" t="n"/>
      <c r="AY21" s="28" t="n"/>
      <c r="AZ21" s="28" t="n"/>
      <c r="BA21" s="28" t="n"/>
      <c r="BB21" s="28" t="n"/>
      <c r="BC21" s="28" t="n"/>
      <c r="BD21" s="28" t="n"/>
      <c r="BE21" s="28" t="n"/>
      <c r="BF21" s="28" t="n"/>
      <c r="BG21" s="28" t="n"/>
      <c r="BH21" s="28" t="n"/>
      <c r="BI21" s="28" t="n"/>
      <c r="BJ21" s="28" t="n"/>
      <c r="BK21" s="28" t="n"/>
      <c r="BL21" s="28" t="n"/>
      <c r="BM21" s="28" t="n"/>
      <c r="BN21" s="28" t="n"/>
      <c r="BO21" s="28" t="n"/>
      <c r="BP21" s="28" t="n"/>
      <c r="BQ21" s="28" t="n"/>
      <c r="BR21" s="28" t="n"/>
      <c r="BS21" s="28" t="n"/>
    </row>
    <row r="22" ht="20" customHeight="1">
      <c r="A22" s="29" t="inlineStr">
        <is>
          <t>实际</t>
        </is>
      </c>
      <c r="B22" s="29" t="inlineStr">
        <is>
          <t>第一期</t>
        </is>
      </c>
      <c r="C22" s="30" t="inlineStr">
        <is>
          <t>PAB060·单级样机</t>
        </is>
      </c>
      <c r="D22" s="31">
        <f>'时间节点计划表'!E11</f>
        <v/>
      </c>
      <c r="E22" s="31">
        <f>IF(COUNT('时间节点计划表'!F11),'时间节点计划表'!F11,"")</f>
        <v/>
      </c>
      <c r="F22" s="32">
        <f>IF(OR(D22="",E22=""),"待填",E22-D22)</f>
        <v/>
      </c>
      <c r="G22" s="23">
        <f>IF(AND(COUNT($E22),N(G$2)=N($E22)),$E22,IF(AND(COUNT($E22),N(G$2)&gt;=N($G$2),N(G$2)&lt;N($E22))," ",""))</f>
        <v/>
      </c>
      <c r="H22" s="23">
        <f>IF(AND(COUNT($E22),N(H$2)=N($E22)),$E22,IF(AND(COUNT($E22),N(H$2)&gt;=N($G$2),N(H$2)&lt;N($E22))," ",""))</f>
        <v/>
      </c>
      <c r="I22" s="23">
        <f>IF(AND(COUNT($E22),N(I$2)=N($E22)),$E22,IF(AND(COUNT($E22),N(I$2)&gt;=N($G$2),N(I$2)&lt;N($E22))," ",""))</f>
        <v/>
      </c>
      <c r="J22" s="23">
        <f>IF(AND(COUNT($E22),N(J$2)=N($E22)),$E22,IF(AND(COUNT($E22),N(J$2)&gt;=N($G$2),N(J$2)&lt;N($E22))," ",""))</f>
        <v/>
      </c>
      <c r="K22" s="23">
        <f>IF(AND(COUNT($E22),N(K$2)=N($E22)),$E22,IF(AND(COUNT($E22),N(K$2)&gt;=N($G$2),N(K$2)&lt;N($E22))," ",""))</f>
        <v/>
      </c>
      <c r="L22" s="23">
        <f>IF(AND(COUNT($E22),N(L$2)=N($E22)),$E22,IF(AND(COUNT($E22),N(L$2)&gt;=N($G$2),N(L$2)&lt;N($E22))," ",""))</f>
        <v/>
      </c>
      <c r="M22" s="23">
        <f>IF(AND(COUNT($E22),N(M$2)=N($E22)),$E22,IF(AND(COUNT($E22),N(M$2)&gt;=N($G$2),N(M$2)&lt;N($E22))," ",""))</f>
        <v/>
      </c>
      <c r="N22" s="23">
        <f>IF(AND(COUNT($E22),N(N$2)=N($E22)),$E22,IF(AND(COUNT($E22),N(N$2)&gt;=N($G$2),N(N$2)&lt;N($E22))," ",""))</f>
        <v/>
      </c>
      <c r="O22" s="23">
        <f>IF(AND(COUNT($E22),N(O$2)=N($E22)),$E22,IF(AND(COUNT($E22),N(O$2)&gt;=N($G$2),N(O$2)&lt;N($E22))," ",""))</f>
        <v/>
      </c>
      <c r="P22" s="23">
        <f>IF(AND(COUNT($E22),N(P$2)=N($E22)),$E22,IF(AND(COUNT($E22),N(P$2)&gt;=N($G$2),N(P$2)&lt;N($E22))," ",""))</f>
        <v/>
      </c>
      <c r="Q22" s="23">
        <f>IF(AND(COUNT($E22),N(Q$2)=N($E22)),$E22,IF(AND(COUNT($E22),N(Q$2)&gt;=N($G$2),N(Q$2)&lt;N($E22))," ",""))</f>
        <v/>
      </c>
      <c r="R22" s="23">
        <f>IF(AND(COUNT($E22),N(R$2)=N($E22)),$E22,IF(AND(COUNT($E22),N(R$2)&gt;=N($G$2),N(R$2)&lt;N($E22))," ",""))</f>
        <v/>
      </c>
      <c r="S22" s="23">
        <f>IF(AND(COUNT($E22),N(S$2)=N($E22)),$E22,IF(AND(COUNT($E22),N(S$2)&gt;=N($G$2),N(S$2)&lt;N($E22))," ",""))</f>
        <v/>
      </c>
      <c r="T22" s="23">
        <f>IF(AND(COUNT($E22),N(T$2)=N($E22)),$E22,IF(AND(COUNT($E22),N(T$2)&gt;=N($G$2),N(T$2)&lt;N($E22))," ",""))</f>
        <v/>
      </c>
      <c r="U22" s="23">
        <f>IF(AND(COUNT($E22),N(U$2)=N($E22)),$E22,IF(AND(COUNT($E22),N(U$2)&gt;=N($G$2),N(U$2)&lt;N($E22))," ",""))</f>
        <v/>
      </c>
      <c r="V22" s="23">
        <f>IF(AND(COUNT($E22),N(V$2)=N($E22)),$E22,IF(AND(COUNT($E22),N(V$2)&gt;=N($G$2),N(V$2)&lt;N($E22))," ",""))</f>
        <v/>
      </c>
      <c r="W22" s="23">
        <f>IF(AND(COUNT($E22),N(W$2)=N($E22)),$E22,IF(AND(COUNT($E22),N(W$2)&gt;=N($G$2),N(W$2)&lt;N($E22))," ",""))</f>
        <v/>
      </c>
      <c r="X22" s="23">
        <f>IF(AND(COUNT($E22),N(X$2)=N($E22)),$E22,IF(AND(COUNT($E22),N(X$2)&gt;=N($G$2),N(X$2)&lt;N($E22))," ",""))</f>
        <v/>
      </c>
      <c r="Y22" s="23">
        <f>IF(AND(COUNT($E22),N(Y$2)=N($E22)),$E22,IF(AND(COUNT($E22),N(Y$2)&gt;=N($G$2),N(Y$2)&lt;N($E22))," ",""))</f>
        <v/>
      </c>
      <c r="Z22" s="23">
        <f>IF(AND(COUNT($E22),N(Z$2)=N($E22)),$E22,IF(AND(COUNT($E22),N(Z$2)&gt;=N($G$2),N(Z$2)&lt;N($E22))," ",""))</f>
        <v/>
      </c>
      <c r="AA22" s="23">
        <f>IF(AND(COUNT($E22),N(AA$2)=N($E22)),$E22,IF(AND(COUNT($E22),N(AA$2)&gt;=N($G$2),N(AA$2)&lt;N($E22))," ",""))</f>
        <v/>
      </c>
      <c r="AB22" s="23">
        <f>IF(AND(COUNT($E22),N(AB$2)=N($E22)),$E22,IF(AND(COUNT($E22),N(AB$2)&gt;=N($G$2),N(AB$2)&lt;N($E22))," ",""))</f>
        <v/>
      </c>
      <c r="AC22" s="23">
        <f>IF(AND(COUNT($E22),N(AC$2)=N($E22)),$E22,IF(AND(COUNT($E22),N(AC$2)&gt;=N($G$2),N(AC$2)&lt;N($E22))," ",""))</f>
        <v/>
      </c>
      <c r="AD22" s="23">
        <f>IF(AND(COUNT($E22),N(AD$2)=N($E22)),$E22,IF(AND(COUNT($E22),N(AD$2)&gt;=N($G$2),N(AD$2)&lt;N($E22))," ",""))</f>
        <v/>
      </c>
      <c r="AE22" s="23">
        <f>IF(AND(COUNT($E22),N(AE$2)=N($E22)),$E22,IF(AND(COUNT($E22),N(AE$2)&gt;=N($G$2),N(AE$2)&lt;N($E22))," ",""))</f>
        <v/>
      </c>
      <c r="AF22" s="23">
        <f>IF(AND(COUNT($E22),N(AF$2)=N($E22)),$E22,IF(AND(COUNT($E22),N(AF$2)&gt;=N($G$2),N(AF$2)&lt;N($E22))," ",""))</f>
        <v/>
      </c>
      <c r="AG22" s="23">
        <f>IF(AND(COUNT($E22),N(AG$2)=N($E22)),$E22,IF(AND(COUNT($E22),N(AG$2)&gt;=N($G$2),N(AG$2)&lt;N($E22))," ",""))</f>
        <v/>
      </c>
      <c r="AH22" s="23">
        <f>IF(AND(COUNT($E22),N(AH$2)=N($E22)),$E22,IF(AND(COUNT($E22),N(AH$2)&gt;=N($G$2),N(AH$2)&lt;N($E22))," ",""))</f>
        <v/>
      </c>
      <c r="AI22" s="23">
        <f>IF(AND(COUNT($E22),N(AI$2)=N($E22)),$E22,IF(AND(COUNT($E22),N(AI$2)&gt;=N($G$2),N(AI$2)&lt;N($E22))," ",""))</f>
        <v/>
      </c>
      <c r="AJ22" s="23">
        <f>IF(AND(COUNT($E22),N(AJ$2)=N($E22)),$E22,IF(AND(COUNT($E22),N(AJ$2)&gt;=N($G$2),N(AJ$2)&lt;N($E22))," ",""))</f>
        <v/>
      </c>
      <c r="AK22" s="23">
        <f>IF(AND(COUNT($E22),N(AK$2)=N($E22)),$E22,IF(AND(COUNT($E22),N(AK$2)&gt;=N($G$2),N(AK$2)&lt;N($E22))," ",""))</f>
        <v/>
      </c>
      <c r="AL22" s="23">
        <f>IF(AND(COUNT($E22),N(AL$2)=N($E22)),$E22,IF(AND(COUNT($E22),N(AL$2)&gt;=N($G$2),N(AL$2)&lt;N($E22))," ",""))</f>
        <v/>
      </c>
      <c r="AM22" s="23">
        <f>IF(AND(COUNT($E22),N(AM$2)=N($E22)),$E22,IF(AND(COUNT($E22),N(AM$2)&gt;=N($G$2),N(AM$2)&lt;N($E22))," ",""))</f>
        <v/>
      </c>
      <c r="AN22" s="23">
        <f>IF(AND(COUNT($E22),N(AN$2)=N($E22)),$E22,IF(AND(COUNT($E22),N(AN$2)&gt;=N($G$2),N(AN$2)&lt;N($E22))," ",""))</f>
        <v/>
      </c>
      <c r="AO22" s="23">
        <f>IF(AND(COUNT($E22),N(AO$2)=N($E22)),$E22,IF(AND(COUNT($E22),N(AO$2)&gt;=N($G$2),N(AO$2)&lt;N($E22))," ",""))</f>
        <v/>
      </c>
      <c r="AP22" s="23">
        <f>IF(AND(COUNT($E22),N(AP$2)=N($E22)),$E22,IF(AND(COUNT($E22),N(AP$2)&gt;=N($G$2),N(AP$2)&lt;N($E22))," ",""))</f>
        <v/>
      </c>
      <c r="AQ22" s="23">
        <f>IF(AND(COUNT($E22),N(AQ$2)=N($E22)),$E22,IF(AND(COUNT($E22),N(AQ$2)&gt;=N($G$2),N(AQ$2)&lt;N($E22))," ",""))</f>
        <v/>
      </c>
      <c r="AR22" s="23">
        <f>IF(AND(COUNT($E22),N(AR$2)=N($E22)),$E22,IF(AND(COUNT($E22),N(AR$2)&gt;=N($G$2),N(AR$2)&lt;N($E22))," ",""))</f>
        <v/>
      </c>
      <c r="AS22" s="23">
        <f>IF(AND(COUNT($E22),N(AS$2)=N($E22)),$E22,IF(AND(COUNT($E22),N(AS$2)&gt;=N($G$2),N(AS$2)&lt;N($E22))," ",""))</f>
        <v/>
      </c>
      <c r="AT22" s="23">
        <f>IF(AND(COUNT($E22),N(AT$2)=N($E22)),$E22,IF(AND(COUNT($E22),N(AT$2)&gt;=N($G$2),N(AT$2)&lt;N($E22))," ",""))</f>
        <v/>
      </c>
      <c r="AU22" s="23">
        <f>IF(AND(COUNT($E22),N(AU$2)=N($E22)),$E22,IF(AND(COUNT($E22),N(AU$2)&gt;=N($G$2),N(AU$2)&lt;N($E22))," ",""))</f>
        <v/>
      </c>
      <c r="AV22" s="23">
        <f>IF(AND(COUNT($E22),N(AV$2)=N($E22)),$E22,IF(AND(COUNT($E22),N(AV$2)&gt;=N($G$2),N(AV$2)&lt;N($E22))," ",""))</f>
        <v/>
      </c>
      <c r="AW22" s="23">
        <f>IF(AND(COUNT($E22),N(AW$2)=N($E22)),$E22,IF(AND(COUNT($E22),N(AW$2)&gt;=N($G$2),N(AW$2)&lt;N($E22))," ",""))</f>
        <v/>
      </c>
      <c r="AX22" s="23">
        <f>IF(AND(COUNT($E22),N(AX$2)=N($E22)),$E22,IF(AND(COUNT($E22),N(AX$2)&gt;=N($G$2),N(AX$2)&lt;N($E22))," ",""))</f>
        <v/>
      </c>
      <c r="AY22" s="23">
        <f>IF(AND(COUNT($E22),N(AY$2)=N($E22)),$E22,IF(AND(COUNT($E22),N(AY$2)&gt;=N($G$2),N(AY$2)&lt;N($E22))," ",""))</f>
        <v/>
      </c>
      <c r="AZ22" s="23">
        <f>IF(AND(COUNT($E22),N(AZ$2)=N($E22)),$E22,IF(AND(COUNT($E22),N(AZ$2)&gt;=N($G$2),N(AZ$2)&lt;N($E22))," ",""))</f>
        <v/>
      </c>
      <c r="BA22" s="23">
        <f>IF(AND(COUNT($E22),N(BA$2)=N($E22)),$E22,IF(AND(COUNT($E22),N(BA$2)&gt;=N($G$2),N(BA$2)&lt;N($E22))," ",""))</f>
        <v/>
      </c>
      <c r="BB22" s="23">
        <f>IF(AND(COUNT($E22),N(BB$2)=N($E22)),$E22,IF(AND(COUNT($E22),N(BB$2)&gt;=N($G$2),N(BB$2)&lt;N($E22))," ",""))</f>
        <v/>
      </c>
      <c r="BC22" s="23">
        <f>IF(AND(COUNT($E22),N(BC$2)=N($E22)),$E22,IF(AND(COUNT($E22),N(BC$2)&gt;=N($G$2),N(BC$2)&lt;N($E22))," ",""))</f>
        <v/>
      </c>
      <c r="BD22" s="23">
        <f>IF(AND(COUNT($E22),N(BD$2)=N($E22)),$E22,IF(AND(COUNT($E22),N(BD$2)&gt;=N($G$2),N(BD$2)&lt;N($E22))," ",""))</f>
        <v/>
      </c>
      <c r="BE22" s="23">
        <f>IF(AND(COUNT($E22),N(BE$2)=N($E22)),$E22,IF(AND(COUNT($E22),N(BE$2)&gt;=N($G$2),N(BE$2)&lt;N($E22))," ",""))</f>
        <v/>
      </c>
      <c r="BF22" s="23">
        <f>IF(AND(COUNT($E22),N(BF$2)=N($E22)),$E22,IF(AND(COUNT($E22),N(BF$2)&gt;=N($G$2),N(BF$2)&lt;N($E22))," ",""))</f>
        <v/>
      </c>
      <c r="BG22" s="23">
        <f>IF(AND(COUNT($E22),N(BG$2)=N($E22)),$E22,IF(AND(COUNT($E22),N(BG$2)&gt;=N($G$2),N(BG$2)&lt;N($E22))," ",""))</f>
        <v/>
      </c>
      <c r="BH22" s="23">
        <f>IF(AND(COUNT($E22),N(BH$2)=N($E22)),$E22,IF(AND(COUNT($E22),N(BH$2)&gt;=N($G$2),N(BH$2)&lt;N($E22))," ",""))</f>
        <v/>
      </c>
      <c r="BI22" s="23">
        <f>IF(AND(COUNT($E22),N(BI$2)=N($E22)),$E22,IF(AND(COUNT($E22),N(BI$2)&gt;=N($G$2),N(BI$2)&lt;N($E22))," ",""))</f>
        <v/>
      </c>
      <c r="BJ22" s="23">
        <f>IF(AND(COUNT($E22),N(BJ$2)=N($E22)),$E22,IF(AND(COUNT($E22),N(BJ$2)&gt;=N($G$2),N(BJ$2)&lt;N($E22))," ",""))</f>
        <v/>
      </c>
      <c r="BK22" s="23">
        <f>IF(AND(COUNT($E22),N(BK$2)=N($E22)),$E22,IF(AND(COUNT($E22),N(BK$2)&gt;=N($G$2),N(BK$2)&lt;N($E22))," ",""))</f>
        <v/>
      </c>
      <c r="BL22" s="23">
        <f>IF(AND(COUNT($E22),N(BL$2)=N($E22)),$E22,IF(AND(COUNT($E22),N(BL$2)&gt;=N($G$2),N(BL$2)&lt;N($E22))," ",""))</f>
        <v/>
      </c>
      <c r="BM22" s="23">
        <f>IF(AND(COUNT($E22),N(BM$2)=N($E22)),$E22,IF(AND(COUNT($E22),N(BM$2)&gt;=N($G$2),N(BM$2)&lt;N($E22))," ",""))</f>
        <v/>
      </c>
      <c r="BN22" s="23">
        <f>IF(AND(COUNT($E22),N(BN$2)=N($E22)),$E22,IF(AND(COUNT($E22),N(BN$2)&gt;=N($G$2),N(BN$2)&lt;N($E22))," ",""))</f>
        <v/>
      </c>
      <c r="BO22" s="23">
        <f>IF(AND(COUNT($E22),N(BO$2)=N($E22)),$E22,IF(AND(COUNT($E22),N(BO$2)&gt;=N($G$2),N(BO$2)&lt;N($E22))," ",""))</f>
        <v/>
      </c>
      <c r="BP22" s="23">
        <f>IF(AND(COUNT($E22),N(BP$2)=N($E22)),$E22,IF(AND(COUNT($E22),N(BP$2)&gt;=N($G$2),N(BP$2)&lt;N($E22))," ",""))</f>
        <v/>
      </c>
      <c r="BQ22" s="23">
        <f>IF(AND(COUNT($E22),N(BQ$2)=N($E22)),$E22,IF(AND(COUNT($E22),N(BQ$2)&gt;=N($G$2),N(BQ$2)&lt;N($E22))," ",""))</f>
        <v/>
      </c>
      <c r="BR22" s="23">
        <f>IF(AND(COUNT($E22),N(BR$2)=N($E22)),$E22,IF(AND(COUNT($E22),N(BR$2)&gt;=N($G$2),N(BR$2)&lt;N($E22))," ",""))</f>
        <v/>
      </c>
      <c r="BS22" s="23">
        <f>IF(AND(COUNT($E22),N(BS$2)=N($E22)),$E22,IF(AND(COUNT($E22),N(BS$2)&gt;=N($G$2),N(BS$2)&lt;N($E22))," ",""))</f>
        <v/>
      </c>
    </row>
    <row r="23" ht="20" customHeight="1">
      <c r="A23" s="21" t="inlineStr">
        <is>
          <t>预估</t>
        </is>
      </c>
      <c r="B23" s="21" t="inlineStr">
        <is>
          <t>第一期</t>
        </is>
      </c>
      <c r="C23" s="22" t="inlineStr">
        <is>
          <t>PAB060·双级样机</t>
        </is>
      </c>
      <c r="D23" s="23">
        <f>'时间节点计划表'!E12</f>
        <v/>
      </c>
      <c r="E23" s="23">
        <f>IF(COUNT('时间节点计划表'!F12),'时间节点计划表'!F12,"")</f>
        <v/>
      </c>
      <c r="F23" s="24" t="inlineStr"/>
      <c r="G23" s="25">
        <f>D23</f>
        <v/>
      </c>
      <c r="H23" s="26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  <c r="X23" s="26" t="n"/>
      <c r="Y23" s="26" t="n"/>
      <c r="Z23" s="26" t="n"/>
      <c r="AA23" s="26" t="n"/>
      <c r="AB23" s="26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6" t="n"/>
      <c r="AO23" s="26" t="n"/>
      <c r="AP23" s="26" t="n"/>
      <c r="AQ23" s="26" t="n"/>
      <c r="AR23" s="26" t="n"/>
      <c r="AS23" s="26" t="n"/>
      <c r="AT23" s="27" t="n"/>
      <c r="AU23" s="28" t="n"/>
      <c r="AV23" s="28" t="n"/>
      <c r="AW23" s="28" t="n"/>
      <c r="AX23" s="28" t="n"/>
      <c r="AY23" s="28" t="n"/>
      <c r="AZ23" s="28" t="n"/>
      <c r="BA23" s="28" t="n"/>
      <c r="BB23" s="28" t="n"/>
      <c r="BC23" s="28" t="n"/>
      <c r="BD23" s="28" t="n"/>
      <c r="BE23" s="28" t="n"/>
      <c r="BF23" s="28" t="n"/>
      <c r="BG23" s="28" t="n"/>
      <c r="BH23" s="28" t="n"/>
      <c r="BI23" s="28" t="n"/>
      <c r="BJ23" s="28" t="n"/>
      <c r="BK23" s="28" t="n"/>
      <c r="BL23" s="28" t="n"/>
      <c r="BM23" s="28" t="n"/>
      <c r="BN23" s="28" t="n"/>
      <c r="BO23" s="28" t="n"/>
      <c r="BP23" s="28" t="n"/>
      <c r="BQ23" s="28" t="n"/>
      <c r="BR23" s="28" t="n"/>
      <c r="BS23" s="28" t="n"/>
    </row>
    <row r="24" ht="20" customHeight="1">
      <c r="A24" s="29" t="inlineStr">
        <is>
          <t>实际</t>
        </is>
      </c>
      <c r="B24" s="29" t="inlineStr">
        <is>
          <t>第一期</t>
        </is>
      </c>
      <c r="C24" s="30" t="inlineStr">
        <is>
          <t>PAB060·双级样机</t>
        </is>
      </c>
      <c r="D24" s="31">
        <f>'时间节点计划表'!E12</f>
        <v/>
      </c>
      <c r="E24" s="31">
        <f>IF(COUNT('时间节点计划表'!F12),'时间节点计划表'!F12,"")</f>
        <v/>
      </c>
      <c r="F24" s="32">
        <f>IF(OR(D24="",E24=""),"待填",E24-D24)</f>
        <v/>
      </c>
      <c r="G24" s="23">
        <f>IF(AND(COUNT($E24),N(G$2)=N($E24)),$E24,IF(AND(COUNT($E24),N(G$2)&gt;=N($G$2),N(G$2)&lt;N($E24))," ",""))</f>
        <v/>
      </c>
      <c r="H24" s="23">
        <f>IF(AND(COUNT($E24),N(H$2)=N($E24)),$E24,IF(AND(COUNT($E24),N(H$2)&gt;=N($G$2),N(H$2)&lt;N($E24))," ",""))</f>
        <v/>
      </c>
      <c r="I24" s="23">
        <f>IF(AND(COUNT($E24),N(I$2)=N($E24)),$E24,IF(AND(COUNT($E24),N(I$2)&gt;=N($G$2),N(I$2)&lt;N($E24))," ",""))</f>
        <v/>
      </c>
      <c r="J24" s="23">
        <f>IF(AND(COUNT($E24),N(J$2)=N($E24)),$E24,IF(AND(COUNT($E24),N(J$2)&gt;=N($G$2),N(J$2)&lt;N($E24))," ",""))</f>
        <v/>
      </c>
      <c r="K24" s="23">
        <f>IF(AND(COUNT($E24),N(K$2)=N($E24)),$E24,IF(AND(COUNT($E24),N(K$2)&gt;=N($G$2),N(K$2)&lt;N($E24))," ",""))</f>
        <v/>
      </c>
      <c r="L24" s="23">
        <f>IF(AND(COUNT($E24),N(L$2)=N($E24)),$E24,IF(AND(COUNT($E24),N(L$2)&gt;=N($G$2),N(L$2)&lt;N($E24))," ",""))</f>
        <v/>
      </c>
      <c r="M24" s="23">
        <f>IF(AND(COUNT($E24),N(M$2)=N($E24)),$E24,IF(AND(COUNT($E24),N(M$2)&gt;=N($G$2),N(M$2)&lt;N($E24))," ",""))</f>
        <v/>
      </c>
      <c r="N24" s="23">
        <f>IF(AND(COUNT($E24),N(N$2)=N($E24)),$E24,IF(AND(COUNT($E24),N(N$2)&gt;=N($G$2),N(N$2)&lt;N($E24))," ",""))</f>
        <v/>
      </c>
      <c r="O24" s="23">
        <f>IF(AND(COUNT($E24),N(O$2)=N($E24)),$E24,IF(AND(COUNT($E24),N(O$2)&gt;=N($G$2),N(O$2)&lt;N($E24))," ",""))</f>
        <v/>
      </c>
      <c r="P24" s="23">
        <f>IF(AND(COUNT($E24),N(P$2)=N($E24)),$E24,IF(AND(COUNT($E24),N(P$2)&gt;=N($G$2),N(P$2)&lt;N($E24))," ",""))</f>
        <v/>
      </c>
      <c r="Q24" s="23">
        <f>IF(AND(COUNT($E24),N(Q$2)=N($E24)),$E24,IF(AND(COUNT($E24),N(Q$2)&gt;=N($G$2),N(Q$2)&lt;N($E24))," ",""))</f>
        <v/>
      </c>
      <c r="R24" s="23">
        <f>IF(AND(COUNT($E24),N(R$2)=N($E24)),$E24,IF(AND(COUNT($E24),N(R$2)&gt;=N($G$2),N(R$2)&lt;N($E24))," ",""))</f>
        <v/>
      </c>
      <c r="S24" s="23">
        <f>IF(AND(COUNT($E24),N(S$2)=N($E24)),$E24,IF(AND(COUNT($E24),N(S$2)&gt;=N($G$2),N(S$2)&lt;N($E24))," ",""))</f>
        <v/>
      </c>
      <c r="T24" s="23">
        <f>IF(AND(COUNT($E24),N(T$2)=N($E24)),$E24,IF(AND(COUNT($E24),N(T$2)&gt;=N($G$2),N(T$2)&lt;N($E24))," ",""))</f>
        <v/>
      </c>
      <c r="U24" s="23">
        <f>IF(AND(COUNT($E24),N(U$2)=N($E24)),$E24,IF(AND(COUNT($E24),N(U$2)&gt;=N($G$2),N(U$2)&lt;N($E24))," ",""))</f>
        <v/>
      </c>
      <c r="V24" s="23">
        <f>IF(AND(COUNT($E24),N(V$2)=N($E24)),$E24,IF(AND(COUNT($E24),N(V$2)&gt;=N($G$2),N(V$2)&lt;N($E24))," ",""))</f>
        <v/>
      </c>
      <c r="W24" s="23">
        <f>IF(AND(COUNT($E24),N(W$2)=N($E24)),$E24,IF(AND(COUNT($E24),N(W$2)&gt;=N($G$2),N(W$2)&lt;N($E24))," ",""))</f>
        <v/>
      </c>
      <c r="X24" s="23">
        <f>IF(AND(COUNT($E24),N(X$2)=N($E24)),$E24,IF(AND(COUNT($E24),N(X$2)&gt;=N($G$2),N(X$2)&lt;N($E24))," ",""))</f>
        <v/>
      </c>
      <c r="Y24" s="23">
        <f>IF(AND(COUNT($E24),N(Y$2)=N($E24)),$E24,IF(AND(COUNT($E24),N(Y$2)&gt;=N($G$2),N(Y$2)&lt;N($E24))," ",""))</f>
        <v/>
      </c>
      <c r="Z24" s="23">
        <f>IF(AND(COUNT($E24),N(Z$2)=N($E24)),$E24,IF(AND(COUNT($E24),N(Z$2)&gt;=N($G$2),N(Z$2)&lt;N($E24))," ",""))</f>
        <v/>
      </c>
      <c r="AA24" s="23">
        <f>IF(AND(COUNT($E24),N(AA$2)=N($E24)),$E24,IF(AND(COUNT($E24),N(AA$2)&gt;=N($G$2),N(AA$2)&lt;N($E24))," ",""))</f>
        <v/>
      </c>
      <c r="AB24" s="23">
        <f>IF(AND(COUNT($E24),N(AB$2)=N($E24)),$E24,IF(AND(COUNT($E24),N(AB$2)&gt;=N($G$2),N(AB$2)&lt;N($E24))," ",""))</f>
        <v/>
      </c>
      <c r="AC24" s="23">
        <f>IF(AND(COUNT($E24),N(AC$2)=N($E24)),$E24,IF(AND(COUNT($E24),N(AC$2)&gt;=N($G$2),N(AC$2)&lt;N($E24))," ",""))</f>
        <v/>
      </c>
      <c r="AD24" s="23">
        <f>IF(AND(COUNT($E24),N(AD$2)=N($E24)),$E24,IF(AND(COUNT($E24),N(AD$2)&gt;=N($G$2),N(AD$2)&lt;N($E24))," ",""))</f>
        <v/>
      </c>
      <c r="AE24" s="23">
        <f>IF(AND(COUNT($E24),N(AE$2)=N($E24)),$E24,IF(AND(COUNT($E24),N(AE$2)&gt;=N($G$2),N(AE$2)&lt;N($E24))," ",""))</f>
        <v/>
      </c>
      <c r="AF24" s="23">
        <f>IF(AND(COUNT($E24),N(AF$2)=N($E24)),$E24,IF(AND(COUNT($E24),N(AF$2)&gt;=N($G$2),N(AF$2)&lt;N($E24))," ",""))</f>
        <v/>
      </c>
      <c r="AG24" s="23">
        <f>IF(AND(COUNT($E24),N(AG$2)=N($E24)),$E24,IF(AND(COUNT($E24),N(AG$2)&gt;=N($G$2),N(AG$2)&lt;N($E24))," ",""))</f>
        <v/>
      </c>
      <c r="AH24" s="23">
        <f>IF(AND(COUNT($E24),N(AH$2)=N($E24)),$E24,IF(AND(COUNT($E24),N(AH$2)&gt;=N($G$2),N(AH$2)&lt;N($E24))," ",""))</f>
        <v/>
      </c>
      <c r="AI24" s="23">
        <f>IF(AND(COUNT($E24),N(AI$2)=N($E24)),$E24,IF(AND(COUNT($E24),N(AI$2)&gt;=N($G$2),N(AI$2)&lt;N($E24))," ",""))</f>
        <v/>
      </c>
      <c r="AJ24" s="23">
        <f>IF(AND(COUNT($E24),N(AJ$2)=N($E24)),$E24,IF(AND(COUNT($E24),N(AJ$2)&gt;=N($G$2),N(AJ$2)&lt;N($E24))," ",""))</f>
        <v/>
      </c>
      <c r="AK24" s="23">
        <f>IF(AND(COUNT($E24),N(AK$2)=N($E24)),$E24,IF(AND(COUNT($E24),N(AK$2)&gt;=N($G$2),N(AK$2)&lt;N($E24))," ",""))</f>
        <v/>
      </c>
      <c r="AL24" s="23">
        <f>IF(AND(COUNT($E24),N(AL$2)=N($E24)),$E24,IF(AND(COUNT($E24),N(AL$2)&gt;=N($G$2),N(AL$2)&lt;N($E24))," ",""))</f>
        <v/>
      </c>
      <c r="AM24" s="23">
        <f>IF(AND(COUNT($E24),N(AM$2)=N($E24)),$E24,IF(AND(COUNT($E24),N(AM$2)&gt;=N($G$2),N(AM$2)&lt;N($E24))," ",""))</f>
        <v/>
      </c>
      <c r="AN24" s="23">
        <f>IF(AND(COUNT($E24),N(AN$2)=N($E24)),$E24,IF(AND(COUNT($E24),N(AN$2)&gt;=N($G$2),N(AN$2)&lt;N($E24))," ",""))</f>
        <v/>
      </c>
      <c r="AO24" s="23">
        <f>IF(AND(COUNT($E24),N(AO$2)=N($E24)),$E24,IF(AND(COUNT($E24),N(AO$2)&gt;=N($G$2),N(AO$2)&lt;N($E24))," ",""))</f>
        <v/>
      </c>
      <c r="AP24" s="23">
        <f>IF(AND(COUNT($E24),N(AP$2)=N($E24)),$E24,IF(AND(COUNT($E24),N(AP$2)&gt;=N($G$2),N(AP$2)&lt;N($E24))," ",""))</f>
        <v/>
      </c>
      <c r="AQ24" s="23">
        <f>IF(AND(COUNT($E24),N(AQ$2)=N($E24)),$E24,IF(AND(COUNT($E24),N(AQ$2)&gt;=N($G$2),N(AQ$2)&lt;N($E24))," ",""))</f>
        <v/>
      </c>
      <c r="AR24" s="23">
        <f>IF(AND(COUNT($E24),N(AR$2)=N($E24)),$E24,IF(AND(COUNT($E24),N(AR$2)&gt;=N($G$2),N(AR$2)&lt;N($E24))," ",""))</f>
        <v/>
      </c>
      <c r="AS24" s="23">
        <f>IF(AND(COUNT($E24),N(AS$2)=N($E24)),$E24,IF(AND(COUNT($E24),N(AS$2)&gt;=N($G$2),N(AS$2)&lt;N($E24))," ",""))</f>
        <v/>
      </c>
      <c r="AT24" s="23">
        <f>IF(AND(COUNT($E24),N(AT$2)=N($E24)),$E24,IF(AND(COUNT($E24),N(AT$2)&gt;=N($G$2),N(AT$2)&lt;N($E24))," ",""))</f>
        <v/>
      </c>
      <c r="AU24" s="23">
        <f>IF(AND(COUNT($E24),N(AU$2)=N($E24)),$E24,IF(AND(COUNT($E24),N(AU$2)&gt;=N($G$2),N(AU$2)&lt;N($E24))," ",""))</f>
        <v/>
      </c>
      <c r="AV24" s="23">
        <f>IF(AND(COUNT($E24),N(AV$2)=N($E24)),$E24,IF(AND(COUNT($E24),N(AV$2)&gt;=N($G$2),N(AV$2)&lt;N($E24))," ",""))</f>
        <v/>
      </c>
      <c r="AW24" s="23">
        <f>IF(AND(COUNT($E24),N(AW$2)=N($E24)),$E24,IF(AND(COUNT($E24),N(AW$2)&gt;=N($G$2),N(AW$2)&lt;N($E24))," ",""))</f>
        <v/>
      </c>
      <c r="AX24" s="23">
        <f>IF(AND(COUNT($E24),N(AX$2)=N($E24)),$E24,IF(AND(COUNT($E24),N(AX$2)&gt;=N($G$2),N(AX$2)&lt;N($E24))," ",""))</f>
        <v/>
      </c>
      <c r="AY24" s="23">
        <f>IF(AND(COUNT($E24),N(AY$2)=N($E24)),$E24,IF(AND(COUNT($E24),N(AY$2)&gt;=N($G$2),N(AY$2)&lt;N($E24))," ",""))</f>
        <v/>
      </c>
      <c r="AZ24" s="23">
        <f>IF(AND(COUNT($E24),N(AZ$2)=N($E24)),$E24,IF(AND(COUNT($E24),N(AZ$2)&gt;=N($G$2),N(AZ$2)&lt;N($E24))," ",""))</f>
        <v/>
      </c>
      <c r="BA24" s="23">
        <f>IF(AND(COUNT($E24),N(BA$2)=N($E24)),$E24,IF(AND(COUNT($E24),N(BA$2)&gt;=N($G$2),N(BA$2)&lt;N($E24))," ",""))</f>
        <v/>
      </c>
      <c r="BB24" s="23">
        <f>IF(AND(COUNT($E24),N(BB$2)=N($E24)),$E24,IF(AND(COUNT($E24),N(BB$2)&gt;=N($G$2),N(BB$2)&lt;N($E24))," ",""))</f>
        <v/>
      </c>
      <c r="BC24" s="23">
        <f>IF(AND(COUNT($E24),N(BC$2)=N($E24)),$E24,IF(AND(COUNT($E24),N(BC$2)&gt;=N($G$2),N(BC$2)&lt;N($E24))," ",""))</f>
        <v/>
      </c>
      <c r="BD24" s="23">
        <f>IF(AND(COUNT($E24),N(BD$2)=N($E24)),$E24,IF(AND(COUNT($E24),N(BD$2)&gt;=N($G$2),N(BD$2)&lt;N($E24))," ",""))</f>
        <v/>
      </c>
      <c r="BE24" s="23">
        <f>IF(AND(COUNT($E24),N(BE$2)=N($E24)),$E24,IF(AND(COUNT($E24),N(BE$2)&gt;=N($G$2),N(BE$2)&lt;N($E24))," ",""))</f>
        <v/>
      </c>
      <c r="BF24" s="23">
        <f>IF(AND(COUNT($E24),N(BF$2)=N($E24)),$E24,IF(AND(COUNT($E24),N(BF$2)&gt;=N($G$2),N(BF$2)&lt;N($E24))," ",""))</f>
        <v/>
      </c>
      <c r="BG24" s="23">
        <f>IF(AND(COUNT($E24),N(BG$2)=N($E24)),$E24,IF(AND(COUNT($E24),N(BG$2)&gt;=N($G$2),N(BG$2)&lt;N($E24))," ",""))</f>
        <v/>
      </c>
      <c r="BH24" s="23">
        <f>IF(AND(COUNT($E24),N(BH$2)=N($E24)),$E24,IF(AND(COUNT($E24),N(BH$2)&gt;=N($G$2),N(BH$2)&lt;N($E24))," ",""))</f>
        <v/>
      </c>
      <c r="BI24" s="23">
        <f>IF(AND(COUNT($E24),N(BI$2)=N($E24)),$E24,IF(AND(COUNT($E24),N(BI$2)&gt;=N($G$2),N(BI$2)&lt;N($E24))," ",""))</f>
        <v/>
      </c>
      <c r="BJ24" s="23">
        <f>IF(AND(COUNT($E24),N(BJ$2)=N($E24)),$E24,IF(AND(COUNT($E24),N(BJ$2)&gt;=N($G$2),N(BJ$2)&lt;N($E24))," ",""))</f>
        <v/>
      </c>
      <c r="BK24" s="23">
        <f>IF(AND(COUNT($E24),N(BK$2)=N($E24)),$E24,IF(AND(COUNT($E24),N(BK$2)&gt;=N($G$2),N(BK$2)&lt;N($E24))," ",""))</f>
        <v/>
      </c>
      <c r="BL24" s="23">
        <f>IF(AND(COUNT($E24),N(BL$2)=N($E24)),$E24,IF(AND(COUNT($E24),N(BL$2)&gt;=N($G$2),N(BL$2)&lt;N($E24))," ",""))</f>
        <v/>
      </c>
      <c r="BM24" s="23">
        <f>IF(AND(COUNT($E24),N(BM$2)=N($E24)),$E24,IF(AND(COUNT($E24),N(BM$2)&gt;=N($G$2),N(BM$2)&lt;N($E24))," ",""))</f>
        <v/>
      </c>
      <c r="BN24" s="23">
        <f>IF(AND(COUNT($E24),N(BN$2)=N($E24)),$E24,IF(AND(COUNT($E24),N(BN$2)&gt;=N($G$2),N(BN$2)&lt;N($E24))," ",""))</f>
        <v/>
      </c>
      <c r="BO24" s="23">
        <f>IF(AND(COUNT($E24),N(BO$2)=N($E24)),$E24,IF(AND(COUNT($E24),N(BO$2)&gt;=N($G$2),N(BO$2)&lt;N($E24))," ",""))</f>
        <v/>
      </c>
      <c r="BP24" s="23">
        <f>IF(AND(COUNT($E24),N(BP$2)=N($E24)),$E24,IF(AND(COUNT($E24),N(BP$2)&gt;=N($G$2),N(BP$2)&lt;N($E24))," ",""))</f>
        <v/>
      </c>
      <c r="BQ24" s="23">
        <f>IF(AND(COUNT($E24),N(BQ$2)=N($E24)),$E24,IF(AND(COUNT($E24),N(BQ$2)&gt;=N($G$2),N(BQ$2)&lt;N($E24))," ",""))</f>
        <v/>
      </c>
      <c r="BR24" s="23">
        <f>IF(AND(COUNT($E24),N(BR$2)=N($E24)),$E24,IF(AND(COUNT($E24),N(BR$2)&gt;=N($G$2),N(BR$2)&lt;N($E24))," ",""))</f>
        <v/>
      </c>
      <c r="BS24" s="23">
        <f>IF(AND(COUNT($E24),N(BS$2)=N($E24)),$E24,IF(AND(COUNT($E24),N(BS$2)&gt;=N($G$2),N(BS$2)&lt;N($E24))," ",""))</f>
        <v/>
      </c>
    </row>
    <row r="25" ht="20" customHeight="1">
      <c r="A25" s="21" t="inlineStr">
        <is>
          <t>预估</t>
        </is>
      </c>
      <c r="B25" s="21" t="inlineStr">
        <is>
          <t>第一期</t>
        </is>
      </c>
      <c r="C25" s="22" t="inlineStr">
        <is>
          <t>PAB090·零件到位</t>
        </is>
      </c>
      <c r="D25" s="23">
        <f>'时间节点计划表'!E13</f>
        <v/>
      </c>
      <c r="E25" s="23">
        <f>IF(COUNT('时间节点计划表'!F13),'时间节点计划表'!F13,"")</f>
        <v/>
      </c>
      <c r="F25" s="24" t="inlineStr"/>
      <c r="G25" s="25">
        <f>D25</f>
        <v/>
      </c>
      <c r="H25" s="26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  <c r="X25" s="26" t="n"/>
      <c r="Y25" s="26" t="n"/>
      <c r="Z25" s="26" t="n"/>
      <c r="AA25" s="26" t="n"/>
      <c r="AB25" s="26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6" t="n"/>
      <c r="AO25" s="26" t="n"/>
      <c r="AP25" s="26" t="n"/>
      <c r="AQ25" s="26" t="n"/>
      <c r="AR25" s="26" t="n"/>
      <c r="AS25" s="27" t="n"/>
      <c r="AT25" s="28" t="n"/>
      <c r="AU25" s="28" t="n"/>
      <c r="AV25" s="28" t="n"/>
      <c r="AW25" s="28" t="n"/>
      <c r="AX25" s="28" t="n"/>
      <c r="AY25" s="28" t="n"/>
      <c r="AZ25" s="28" t="n"/>
      <c r="BA25" s="28" t="n"/>
      <c r="BB25" s="28" t="n"/>
      <c r="BC25" s="28" t="n"/>
      <c r="BD25" s="28" t="n"/>
      <c r="BE25" s="28" t="n"/>
      <c r="BF25" s="28" t="n"/>
      <c r="BG25" s="28" t="n"/>
      <c r="BH25" s="28" t="n"/>
      <c r="BI25" s="28" t="n"/>
      <c r="BJ25" s="28" t="n"/>
      <c r="BK25" s="28" t="n"/>
      <c r="BL25" s="28" t="n"/>
      <c r="BM25" s="28" t="n"/>
      <c r="BN25" s="28" t="n"/>
      <c r="BO25" s="28" t="n"/>
      <c r="BP25" s="28" t="n"/>
      <c r="BQ25" s="28" t="n"/>
      <c r="BR25" s="28" t="n"/>
      <c r="BS25" s="28" t="n"/>
    </row>
    <row r="26" ht="20" customHeight="1">
      <c r="A26" s="29" t="inlineStr">
        <is>
          <t>实际</t>
        </is>
      </c>
      <c r="B26" s="29" t="inlineStr">
        <is>
          <t>第一期</t>
        </is>
      </c>
      <c r="C26" s="30" t="inlineStr">
        <is>
          <t>PAB090·零件到位</t>
        </is>
      </c>
      <c r="D26" s="31">
        <f>'时间节点计划表'!E13</f>
        <v/>
      </c>
      <c r="E26" s="31">
        <f>IF(COUNT('时间节点计划表'!F13),'时间节点计划表'!F13,"")</f>
        <v/>
      </c>
      <c r="F26" s="32">
        <f>IF(OR(D26="",E26=""),"待填",E26-D26)</f>
        <v/>
      </c>
      <c r="G26" s="23">
        <f>IF(AND(COUNT($E26),N(G$2)=N($E26)),$E26,IF(AND(COUNT($E26),N(G$2)&gt;=N($G$2),N(G$2)&lt;N($E26))," ",""))</f>
        <v/>
      </c>
      <c r="H26" s="23">
        <f>IF(AND(COUNT($E26),N(H$2)=N($E26)),$E26,IF(AND(COUNT($E26),N(H$2)&gt;=N($G$2),N(H$2)&lt;N($E26))," ",""))</f>
        <v/>
      </c>
      <c r="I26" s="23">
        <f>IF(AND(COUNT($E26),N(I$2)=N($E26)),$E26,IF(AND(COUNT($E26),N(I$2)&gt;=N($G$2),N(I$2)&lt;N($E26))," ",""))</f>
        <v/>
      </c>
      <c r="J26" s="23">
        <f>IF(AND(COUNT($E26),N(J$2)=N($E26)),$E26,IF(AND(COUNT($E26),N(J$2)&gt;=N($G$2),N(J$2)&lt;N($E26))," ",""))</f>
        <v/>
      </c>
      <c r="K26" s="23">
        <f>IF(AND(COUNT($E26),N(K$2)=N($E26)),$E26,IF(AND(COUNT($E26),N(K$2)&gt;=N($G$2),N(K$2)&lt;N($E26))," ",""))</f>
        <v/>
      </c>
      <c r="L26" s="23">
        <f>IF(AND(COUNT($E26),N(L$2)=N($E26)),$E26,IF(AND(COUNT($E26),N(L$2)&gt;=N($G$2),N(L$2)&lt;N($E26))," ",""))</f>
        <v/>
      </c>
      <c r="M26" s="23">
        <f>IF(AND(COUNT($E26),N(M$2)=N($E26)),$E26,IF(AND(COUNT($E26),N(M$2)&gt;=N($G$2),N(M$2)&lt;N($E26))," ",""))</f>
        <v/>
      </c>
      <c r="N26" s="23">
        <f>IF(AND(COUNT($E26),N(N$2)=N($E26)),$E26,IF(AND(COUNT($E26),N(N$2)&gt;=N($G$2),N(N$2)&lt;N($E26))," ",""))</f>
        <v/>
      </c>
      <c r="O26" s="23">
        <f>IF(AND(COUNT($E26),N(O$2)=N($E26)),$E26,IF(AND(COUNT($E26),N(O$2)&gt;=N($G$2),N(O$2)&lt;N($E26))," ",""))</f>
        <v/>
      </c>
      <c r="P26" s="23">
        <f>IF(AND(COUNT($E26),N(P$2)=N($E26)),$E26,IF(AND(COUNT($E26),N(P$2)&gt;=N($G$2),N(P$2)&lt;N($E26))," ",""))</f>
        <v/>
      </c>
      <c r="Q26" s="23">
        <f>IF(AND(COUNT($E26),N(Q$2)=N($E26)),$E26,IF(AND(COUNT($E26),N(Q$2)&gt;=N($G$2),N(Q$2)&lt;N($E26))," ",""))</f>
        <v/>
      </c>
      <c r="R26" s="23">
        <f>IF(AND(COUNT($E26),N(R$2)=N($E26)),$E26,IF(AND(COUNT($E26),N(R$2)&gt;=N($G$2),N(R$2)&lt;N($E26))," ",""))</f>
        <v/>
      </c>
      <c r="S26" s="23">
        <f>IF(AND(COUNT($E26),N(S$2)=N($E26)),$E26,IF(AND(COUNT($E26),N(S$2)&gt;=N($G$2),N(S$2)&lt;N($E26))," ",""))</f>
        <v/>
      </c>
      <c r="T26" s="23">
        <f>IF(AND(COUNT($E26),N(T$2)=N($E26)),$E26,IF(AND(COUNT($E26),N(T$2)&gt;=N($G$2),N(T$2)&lt;N($E26))," ",""))</f>
        <v/>
      </c>
      <c r="U26" s="23">
        <f>IF(AND(COUNT($E26),N(U$2)=N($E26)),$E26,IF(AND(COUNT($E26),N(U$2)&gt;=N($G$2),N(U$2)&lt;N($E26))," ",""))</f>
        <v/>
      </c>
      <c r="V26" s="23">
        <f>IF(AND(COUNT($E26),N(V$2)=N($E26)),$E26,IF(AND(COUNT($E26),N(V$2)&gt;=N($G$2),N(V$2)&lt;N($E26))," ",""))</f>
        <v/>
      </c>
      <c r="W26" s="23">
        <f>IF(AND(COUNT($E26),N(W$2)=N($E26)),$E26,IF(AND(COUNT($E26),N(W$2)&gt;=N($G$2),N(W$2)&lt;N($E26))," ",""))</f>
        <v/>
      </c>
      <c r="X26" s="23">
        <f>IF(AND(COUNT($E26),N(X$2)=N($E26)),$E26,IF(AND(COUNT($E26),N(X$2)&gt;=N($G$2),N(X$2)&lt;N($E26))," ",""))</f>
        <v/>
      </c>
      <c r="Y26" s="23">
        <f>IF(AND(COUNT($E26),N(Y$2)=N($E26)),$E26,IF(AND(COUNT($E26),N(Y$2)&gt;=N($G$2),N(Y$2)&lt;N($E26))," ",""))</f>
        <v/>
      </c>
      <c r="Z26" s="23">
        <f>IF(AND(COUNT($E26),N(Z$2)=N($E26)),$E26,IF(AND(COUNT($E26),N(Z$2)&gt;=N($G$2),N(Z$2)&lt;N($E26))," ",""))</f>
        <v/>
      </c>
      <c r="AA26" s="23">
        <f>IF(AND(COUNT($E26),N(AA$2)=N($E26)),$E26,IF(AND(COUNT($E26),N(AA$2)&gt;=N($G$2),N(AA$2)&lt;N($E26))," ",""))</f>
        <v/>
      </c>
      <c r="AB26" s="23">
        <f>IF(AND(COUNT($E26),N(AB$2)=N($E26)),$E26,IF(AND(COUNT($E26),N(AB$2)&gt;=N($G$2),N(AB$2)&lt;N($E26))," ",""))</f>
        <v/>
      </c>
      <c r="AC26" s="23">
        <f>IF(AND(COUNT($E26),N(AC$2)=N($E26)),$E26,IF(AND(COUNT($E26),N(AC$2)&gt;=N($G$2),N(AC$2)&lt;N($E26))," ",""))</f>
        <v/>
      </c>
      <c r="AD26" s="23">
        <f>IF(AND(COUNT($E26),N(AD$2)=N($E26)),$E26,IF(AND(COUNT($E26),N(AD$2)&gt;=N($G$2),N(AD$2)&lt;N($E26))," ",""))</f>
        <v/>
      </c>
      <c r="AE26" s="23">
        <f>IF(AND(COUNT($E26),N(AE$2)=N($E26)),$E26,IF(AND(COUNT($E26),N(AE$2)&gt;=N($G$2),N(AE$2)&lt;N($E26))," ",""))</f>
        <v/>
      </c>
      <c r="AF26" s="23">
        <f>IF(AND(COUNT($E26),N(AF$2)=N($E26)),$E26,IF(AND(COUNT($E26),N(AF$2)&gt;=N($G$2),N(AF$2)&lt;N($E26))," ",""))</f>
        <v/>
      </c>
      <c r="AG26" s="23">
        <f>IF(AND(COUNT($E26),N(AG$2)=N($E26)),$E26,IF(AND(COUNT($E26),N(AG$2)&gt;=N($G$2),N(AG$2)&lt;N($E26))," ",""))</f>
        <v/>
      </c>
      <c r="AH26" s="23">
        <f>IF(AND(COUNT($E26),N(AH$2)=N($E26)),$E26,IF(AND(COUNT($E26),N(AH$2)&gt;=N($G$2),N(AH$2)&lt;N($E26))," ",""))</f>
        <v/>
      </c>
      <c r="AI26" s="23">
        <f>IF(AND(COUNT($E26),N(AI$2)=N($E26)),$E26,IF(AND(COUNT($E26),N(AI$2)&gt;=N($G$2),N(AI$2)&lt;N($E26))," ",""))</f>
        <v/>
      </c>
      <c r="AJ26" s="23">
        <f>IF(AND(COUNT($E26),N(AJ$2)=N($E26)),$E26,IF(AND(COUNT($E26),N(AJ$2)&gt;=N($G$2),N(AJ$2)&lt;N($E26))," ",""))</f>
        <v/>
      </c>
      <c r="AK26" s="23">
        <f>IF(AND(COUNT($E26),N(AK$2)=N($E26)),$E26,IF(AND(COUNT($E26),N(AK$2)&gt;=N($G$2),N(AK$2)&lt;N($E26))," ",""))</f>
        <v/>
      </c>
      <c r="AL26" s="23">
        <f>IF(AND(COUNT($E26),N(AL$2)=N($E26)),$E26,IF(AND(COUNT($E26),N(AL$2)&gt;=N($G$2),N(AL$2)&lt;N($E26))," ",""))</f>
        <v/>
      </c>
      <c r="AM26" s="23">
        <f>IF(AND(COUNT($E26),N(AM$2)=N($E26)),$E26,IF(AND(COUNT($E26),N(AM$2)&gt;=N($G$2),N(AM$2)&lt;N($E26))," ",""))</f>
        <v/>
      </c>
      <c r="AN26" s="23">
        <f>IF(AND(COUNT($E26),N(AN$2)=N($E26)),$E26,IF(AND(COUNT($E26),N(AN$2)&gt;=N($G$2),N(AN$2)&lt;N($E26))," ",""))</f>
        <v/>
      </c>
      <c r="AO26" s="23">
        <f>IF(AND(COUNT($E26),N(AO$2)=N($E26)),$E26,IF(AND(COUNT($E26),N(AO$2)&gt;=N($G$2),N(AO$2)&lt;N($E26))," ",""))</f>
        <v/>
      </c>
      <c r="AP26" s="23">
        <f>IF(AND(COUNT($E26),N(AP$2)=N($E26)),$E26,IF(AND(COUNT($E26),N(AP$2)&gt;=N($G$2),N(AP$2)&lt;N($E26))," ",""))</f>
        <v/>
      </c>
      <c r="AQ26" s="23">
        <f>IF(AND(COUNT($E26),N(AQ$2)=N($E26)),$E26,IF(AND(COUNT($E26),N(AQ$2)&gt;=N($G$2),N(AQ$2)&lt;N($E26))," ",""))</f>
        <v/>
      </c>
      <c r="AR26" s="23">
        <f>IF(AND(COUNT($E26),N(AR$2)=N($E26)),$E26,IF(AND(COUNT($E26),N(AR$2)&gt;=N($G$2),N(AR$2)&lt;N($E26))," ",""))</f>
        <v/>
      </c>
      <c r="AS26" s="23">
        <f>IF(AND(COUNT($E26),N(AS$2)=N($E26)),$E26,IF(AND(COUNT($E26),N(AS$2)&gt;=N($G$2),N(AS$2)&lt;N($E26))," ",""))</f>
        <v/>
      </c>
      <c r="AT26" s="23">
        <f>IF(AND(COUNT($E26),N(AT$2)=N($E26)),$E26,IF(AND(COUNT($E26),N(AT$2)&gt;=N($G$2),N(AT$2)&lt;N($E26))," ",""))</f>
        <v/>
      </c>
      <c r="AU26" s="23">
        <f>IF(AND(COUNT($E26),N(AU$2)=N($E26)),$E26,IF(AND(COUNT($E26),N(AU$2)&gt;=N($G$2),N(AU$2)&lt;N($E26))," ",""))</f>
        <v/>
      </c>
      <c r="AV26" s="23">
        <f>IF(AND(COUNT($E26),N(AV$2)=N($E26)),$E26,IF(AND(COUNT($E26),N(AV$2)&gt;=N($G$2),N(AV$2)&lt;N($E26))," ",""))</f>
        <v/>
      </c>
      <c r="AW26" s="23">
        <f>IF(AND(COUNT($E26),N(AW$2)=N($E26)),$E26,IF(AND(COUNT($E26),N(AW$2)&gt;=N($G$2),N(AW$2)&lt;N($E26))," ",""))</f>
        <v/>
      </c>
      <c r="AX26" s="23">
        <f>IF(AND(COUNT($E26),N(AX$2)=N($E26)),$E26,IF(AND(COUNT($E26),N(AX$2)&gt;=N($G$2),N(AX$2)&lt;N($E26))," ",""))</f>
        <v/>
      </c>
      <c r="AY26" s="23">
        <f>IF(AND(COUNT($E26),N(AY$2)=N($E26)),$E26,IF(AND(COUNT($E26),N(AY$2)&gt;=N($G$2),N(AY$2)&lt;N($E26))," ",""))</f>
        <v/>
      </c>
      <c r="AZ26" s="23">
        <f>IF(AND(COUNT($E26),N(AZ$2)=N($E26)),$E26,IF(AND(COUNT($E26),N(AZ$2)&gt;=N($G$2),N(AZ$2)&lt;N($E26))," ",""))</f>
        <v/>
      </c>
      <c r="BA26" s="23">
        <f>IF(AND(COUNT($E26),N(BA$2)=N($E26)),$E26,IF(AND(COUNT($E26),N(BA$2)&gt;=N($G$2),N(BA$2)&lt;N($E26))," ",""))</f>
        <v/>
      </c>
      <c r="BB26" s="23">
        <f>IF(AND(COUNT($E26),N(BB$2)=N($E26)),$E26,IF(AND(COUNT($E26),N(BB$2)&gt;=N($G$2),N(BB$2)&lt;N($E26))," ",""))</f>
        <v/>
      </c>
      <c r="BC26" s="23">
        <f>IF(AND(COUNT($E26),N(BC$2)=N($E26)),$E26,IF(AND(COUNT($E26),N(BC$2)&gt;=N($G$2),N(BC$2)&lt;N($E26))," ",""))</f>
        <v/>
      </c>
      <c r="BD26" s="23">
        <f>IF(AND(COUNT($E26),N(BD$2)=N($E26)),$E26,IF(AND(COUNT($E26),N(BD$2)&gt;=N($G$2),N(BD$2)&lt;N($E26))," ",""))</f>
        <v/>
      </c>
      <c r="BE26" s="23">
        <f>IF(AND(COUNT($E26),N(BE$2)=N($E26)),$E26,IF(AND(COUNT($E26),N(BE$2)&gt;=N($G$2),N(BE$2)&lt;N($E26))," ",""))</f>
        <v/>
      </c>
      <c r="BF26" s="23">
        <f>IF(AND(COUNT($E26),N(BF$2)=N($E26)),$E26,IF(AND(COUNT($E26),N(BF$2)&gt;=N($G$2),N(BF$2)&lt;N($E26))," ",""))</f>
        <v/>
      </c>
      <c r="BG26" s="23">
        <f>IF(AND(COUNT($E26),N(BG$2)=N($E26)),$E26,IF(AND(COUNT($E26),N(BG$2)&gt;=N($G$2),N(BG$2)&lt;N($E26))," ",""))</f>
        <v/>
      </c>
      <c r="BH26" s="23">
        <f>IF(AND(COUNT($E26),N(BH$2)=N($E26)),$E26,IF(AND(COUNT($E26),N(BH$2)&gt;=N($G$2),N(BH$2)&lt;N($E26))," ",""))</f>
        <v/>
      </c>
      <c r="BI26" s="23">
        <f>IF(AND(COUNT($E26),N(BI$2)=N($E26)),$E26,IF(AND(COUNT($E26),N(BI$2)&gt;=N($G$2),N(BI$2)&lt;N($E26))," ",""))</f>
        <v/>
      </c>
      <c r="BJ26" s="23">
        <f>IF(AND(COUNT($E26),N(BJ$2)=N($E26)),$E26,IF(AND(COUNT($E26),N(BJ$2)&gt;=N($G$2),N(BJ$2)&lt;N($E26))," ",""))</f>
        <v/>
      </c>
      <c r="BK26" s="23">
        <f>IF(AND(COUNT($E26),N(BK$2)=N($E26)),$E26,IF(AND(COUNT($E26),N(BK$2)&gt;=N($G$2),N(BK$2)&lt;N($E26))," ",""))</f>
        <v/>
      </c>
      <c r="BL26" s="23">
        <f>IF(AND(COUNT($E26),N(BL$2)=N($E26)),$E26,IF(AND(COUNT($E26),N(BL$2)&gt;=N($G$2),N(BL$2)&lt;N($E26))," ",""))</f>
        <v/>
      </c>
      <c r="BM26" s="23">
        <f>IF(AND(COUNT($E26),N(BM$2)=N($E26)),$E26,IF(AND(COUNT($E26),N(BM$2)&gt;=N($G$2),N(BM$2)&lt;N($E26))," ",""))</f>
        <v/>
      </c>
      <c r="BN26" s="23">
        <f>IF(AND(COUNT($E26),N(BN$2)=N($E26)),$E26,IF(AND(COUNT($E26),N(BN$2)&gt;=N($G$2),N(BN$2)&lt;N($E26))," ",""))</f>
        <v/>
      </c>
      <c r="BO26" s="23">
        <f>IF(AND(COUNT($E26),N(BO$2)=N($E26)),$E26,IF(AND(COUNT($E26),N(BO$2)&gt;=N($G$2),N(BO$2)&lt;N($E26))," ",""))</f>
        <v/>
      </c>
      <c r="BP26" s="23">
        <f>IF(AND(COUNT($E26),N(BP$2)=N($E26)),$E26,IF(AND(COUNT($E26),N(BP$2)&gt;=N($G$2),N(BP$2)&lt;N($E26))," ",""))</f>
        <v/>
      </c>
      <c r="BQ26" s="23">
        <f>IF(AND(COUNT($E26),N(BQ$2)=N($E26)),$E26,IF(AND(COUNT($E26),N(BQ$2)&gt;=N($G$2),N(BQ$2)&lt;N($E26))," ",""))</f>
        <v/>
      </c>
      <c r="BR26" s="23">
        <f>IF(AND(COUNT($E26),N(BR$2)=N($E26)),$E26,IF(AND(COUNT($E26),N(BR$2)&gt;=N($G$2),N(BR$2)&lt;N($E26))," ",""))</f>
        <v/>
      </c>
      <c r="BS26" s="23">
        <f>IF(AND(COUNT($E26),N(BS$2)=N($E26)),$E26,IF(AND(COUNT($E26),N(BS$2)&gt;=N($G$2),N(BS$2)&lt;N($E26))," ",""))</f>
        <v/>
      </c>
    </row>
    <row r="27" ht="20" customHeight="1">
      <c r="A27" s="21" t="inlineStr">
        <is>
          <t>预估</t>
        </is>
      </c>
      <c r="B27" s="21" t="inlineStr">
        <is>
          <t>第一期</t>
        </is>
      </c>
      <c r="C27" s="22" t="inlineStr">
        <is>
          <t>PAB090·工装图纸绘制</t>
        </is>
      </c>
      <c r="D27" s="23">
        <f>'时间节点计划表'!E14</f>
        <v/>
      </c>
      <c r="E27" s="23">
        <f>IF(COUNT('时间节点计划表'!F14),'时间节点计划表'!F14,"")</f>
        <v/>
      </c>
      <c r="F27" s="24" t="inlineStr"/>
      <c r="G27" s="25">
        <f>D27</f>
        <v/>
      </c>
      <c r="H27" s="26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7" t="n"/>
      <c r="T27" s="28" t="n"/>
      <c r="U27" s="28" t="n"/>
      <c r="V27" s="28" t="n"/>
      <c r="W27" s="28" t="n"/>
      <c r="X27" s="28" t="n"/>
      <c r="Y27" s="28" t="n"/>
      <c r="Z27" s="28" t="n"/>
      <c r="AA27" s="28" t="n"/>
      <c r="AB27" s="28" t="n"/>
      <c r="AC27" s="28" t="n"/>
      <c r="AD27" s="28" t="n"/>
      <c r="AE27" s="28" t="n"/>
      <c r="AF27" s="28" t="n"/>
      <c r="AG27" s="28" t="n"/>
      <c r="AH27" s="28" t="n"/>
      <c r="AI27" s="28" t="n"/>
      <c r="AJ27" s="28" t="n"/>
      <c r="AK27" s="28" t="n"/>
      <c r="AL27" s="28" t="n"/>
      <c r="AM27" s="28" t="n"/>
      <c r="AN27" s="28" t="n"/>
      <c r="AO27" s="28" t="n"/>
      <c r="AP27" s="28" t="n"/>
      <c r="AQ27" s="28" t="n"/>
      <c r="AR27" s="28" t="n"/>
      <c r="AS27" s="28" t="n"/>
      <c r="AT27" s="28" t="n"/>
      <c r="AU27" s="28" t="n"/>
      <c r="AV27" s="28" t="n"/>
      <c r="AW27" s="28" t="n"/>
      <c r="AX27" s="28" t="n"/>
      <c r="AY27" s="28" t="n"/>
      <c r="AZ27" s="28" t="n"/>
      <c r="BA27" s="28" t="n"/>
      <c r="BB27" s="28" t="n"/>
      <c r="BC27" s="28" t="n"/>
      <c r="BD27" s="28" t="n"/>
      <c r="BE27" s="28" t="n"/>
      <c r="BF27" s="28" t="n"/>
      <c r="BG27" s="28" t="n"/>
      <c r="BH27" s="28" t="n"/>
      <c r="BI27" s="28" t="n"/>
      <c r="BJ27" s="28" t="n"/>
      <c r="BK27" s="28" t="n"/>
      <c r="BL27" s="28" t="n"/>
      <c r="BM27" s="28" t="n"/>
      <c r="BN27" s="28" t="n"/>
      <c r="BO27" s="28" t="n"/>
      <c r="BP27" s="28" t="n"/>
      <c r="BQ27" s="28" t="n"/>
      <c r="BR27" s="28" t="n"/>
      <c r="BS27" s="28" t="n"/>
    </row>
    <row r="28" ht="20" customHeight="1">
      <c r="A28" s="29" t="inlineStr">
        <is>
          <t>实际</t>
        </is>
      </c>
      <c r="B28" s="29" t="inlineStr">
        <is>
          <t>第一期</t>
        </is>
      </c>
      <c r="C28" s="30" t="inlineStr">
        <is>
          <t>PAB090·工装图纸绘制</t>
        </is>
      </c>
      <c r="D28" s="31">
        <f>'时间节点计划表'!E14</f>
        <v/>
      </c>
      <c r="E28" s="31">
        <f>IF(COUNT('时间节点计划表'!F14),'时间节点计划表'!F14,"")</f>
        <v/>
      </c>
      <c r="F28" s="32">
        <f>IF(OR(D28="",E28=""),"待填",E28-D28)</f>
        <v/>
      </c>
      <c r="G28" s="23">
        <f>IF(AND(COUNT($E28),N(G$2)=N($E28)),$E28,IF(AND(COUNT($E28),N(G$2)&gt;=N($G$2),N(G$2)&lt;N($E28))," ",""))</f>
        <v/>
      </c>
      <c r="H28" s="23">
        <f>IF(AND(COUNT($E28),N(H$2)=N($E28)),$E28,IF(AND(COUNT($E28),N(H$2)&gt;=N($G$2),N(H$2)&lt;N($E28))," ",""))</f>
        <v/>
      </c>
      <c r="I28" s="23">
        <f>IF(AND(COUNT($E28),N(I$2)=N($E28)),$E28,IF(AND(COUNT($E28),N(I$2)&gt;=N($G$2),N(I$2)&lt;N($E28))," ",""))</f>
        <v/>
      </c>
      <c r="J28" s="23">
        <f>IF(AND(COUNT($E28),N(J$2)=N($E28)),$E28,IF(AND(COUNT($E28),N(J$2)&gt;=N($G$2),N(J$2)&lt;N($E28))," ",""))</f>
        <v/>
      </c>
      <c r="K28" s="23">
        <f>IF(AND(COUNT($E28),N(K$2)=N($E28)),$E28,IF(AND(COUNT($E28),N(K$2)&gt;=N($G$2),N(K$2)&lt;N($E28))," ",""))</f>
        <v/>
      </c>
      <c r="L28" s="23">
        <f>IF(AND(COUNT($E28),N(L$2)=N($E28)),$E28,IF(AND(COUNT($E28),N(L$2)&gt;=N($G$2),N(L$2)&lt;N($E28))," ",""))</f>
        <v/>
      </c>
      <c r="M28" s="23">
        <f>IF(AND(COUNT($E28),N(M$2)=N($E28)),$E28,IF(AND(COUNT($E28),N(M$2)&gt;=N($G$2),N(M$2)&lt;N($E28))," ",""))</f>
        <v/>
      </c>
      <c r="N28" s="23">
        <f>IF(AND(COUNT($E28),N(N$2)=N($E28)),$E28,IF(AND(COUNT($E28),N(N$2)&gt;=N($G$2),N(N$2)&lt;N($E28))," ",""))</f>
        <v/>
      </c>
      <c r="O28" s="23">
        <f>IF(AND(COUNT($E28),N(O$2)=N($E28)),$E28,IF(AND(COUNT($E28),N(O$2)&gt;=N($G$2),N(O$2)&lt;N($E28))," ",""))</f>
        <v/>
      </c>
      <c r="P28" s="23">
        <f>IF(AND(COUNT($E28),N(P$2)=N($E28)),$E28,IF(AND(COUNT($E28),N(P$2)&gt;=N($G$2),N(P$2)&lt;N($E28))," ",""))</f>
        <v/>
      </c>
      <c r="Q28" s="23">
        <f>IF(AND(COUNT($E28),N(Q$2)=N($E28)),$E28,IF(AND(COUNT($E28),N(Q$2)&gt;=N($G$2),N(Q$2)&lt;N($E28))," ",""))</f>
        <v/>
      </c>
      <c r="R28" s="23">
        <f>IF(AND(COUNT($E28),N(R$2)=N($E28)),$E28,IF(AND(COUNT($E28),N(R$2)&gt;=N($G$2),N(R$2)&lt;N($E28))," ",""))</f>
        <v/>
      </c>
      <c r="S28" s="23">
        <f>IF(AND(COUNT($E28),N(S$2)=N($E28)),$E28,IF(AND(COUNT($E28),N(S$2)&gt;=N($G$2),N(S$2)&lt;N($E28))," ",""))</f>
        <v/>
      </c>
      <c r="T28" s="23">
        <f>IF(AND(COUNT($E28),N(T$2)=N($E28)),$E28,IF(AND(COUNT($E28),N(T$2)&gt;=N($G$2),N(T$2)&lt;N($E28))," ",""))</f>
        <v/>
      </c>
      <c r="U28" s="23">
        <f>IF(AND(COUNT($E28),N(U$2)=N($E28)),$E28,IF(AND(COUNT($E28),N(U$2)&gt;=N($G$2),N(U$2)&lt;N($E28))," ",""))</f>
        <v/>
      </c>
      <c r="V28" s="23">
        <f>IF(AND(COUNT($E28),N(V$2)=N($E28)),$E28,IF(AND(COUNT($E28),N(V$2)&gt;=N($G$2),N(V$2)&lt;N($E28))," ",""))</f>
        <v/>
      </c>
      <c r="W28" s="23">
        <f>IF(AND(COUNT($E28),N(W$2)=N($E28)),$E28,IF(AND(COUNT($E28),N(W$2)&gt;=N($G$2),N(W$2)&lt;N($E28))," ",""))</f>
        <v/>
      </c>
      <c r="X28" s="23">
        <f>IF(AND(COUNT($E28),N(X$2)=N($E28)),$E28,IF(AND(COUNT($E28),N(X$2)&gt;=N($G$2),N(X$2)&lt;N($E28))," ",""))</f>
        <v/>
      </c>
      <c r="Y28" s="23">
        <f>IF(AND(COUNT($E28),N(Y$2)=N($E28)),$E28,IF(AND(COUNT($E28),N(Y$2)&gt;=N($G$2),N(Y$2)&lt;N($E28))," ",""))</f>
        <v/>
      </c>
      <c r="Z28" s="23">
        <f>IF(AND(COUNT($E28),N(Z$2)=N($E28)),$E28,IF(AND(COUNT($E28),N(Z$2)&gt;=N($G$2),N(Z$2)&lt;N($E28))," ",""))</f>
        <v/>
      </c>
      <c r="AA28" s="23">
        <f>IF(AND(COUNT($E28),N(AA$2)=N($E28)),$E28,IF(AND(COUNT($E28),N(AA$2)&gt;=N($G$2),N(AA$2)&lt;N($E28))," ",""))</f>
        <v/>
      </c>
      <c r="AB28" s="23">
        <f>IF(AND(COUNT($E28),N(AB$2)=N($E28)),$E28,IF(AND(COUNT($E28),N(AB$2)&gt;=N($G$2),N(AB$2)&lt;N($E28))," ",""))</f>
        <v/>
      </c>
      <c r="AC28" s="23">
        <f>IF(AND(COUNT($E28),N(AC$2)=N($E28)),$E28,IF(AND(COUNT($E28),N(AC$2)&gt;=N($G$2),N(AC$2)&lt;N($E28))," ",""))</f>
        <v/>
      </c>
      <c r="AD28" s="23">
        <f>IF(AND(COUNT($E28),N(AD$2)=N($E28)),$E28,IF(AND(COUNT($E28),N(AD$2)&gt;=N($G$2),N(AD$2)&lt;N($E28))," ",""))</f>
        <v/>
      </c>
      <c r="AE28" s="23">
        <f>IF(AND(COUNT($E28),N(AE$2)=N($E28)),$E28,IF(AND(COUNT($E28),N(AE$2)&gt;=N($G$2),N(AE$2)&lt;N($E28))," ",""))</f>
        <v/>
      </c>
      <c r="AF28" s="23">
        <f>IF(AND(COUNT($E28),N(AF$2)=N($E28)),$E28,IF(AND(COUNT($E28),N(AF$2)&gt;=N($G$2),N(AF$2)&lt;N($E28))," ",""))</f>
        <v/>
      </c>
      <c r="AG28" s="23">
        <f>IF(AND(COUNT($E28),N(AG$2)=N($E28)),$E28,IF(AND(COUNT($E28),N(AG$2)&gt;=N($G$2),N(AG$2)&lt;N($E28))," ",""))</f>
        <v/>
      </c>
      <c r="AH28" s="23">
        <f>IF(AND(COUNT($E28),N(AH$2)=N($E28)),$E28,IF(AND(COUNT($E28),N(AH$2)&gt;=N($G$2),N(AH$2)&lt;N($E28))," ",""))</f>
        <v/>
      </c>
      <c r="AI28" s="23">
        <f>IF(AND(COUNT($E28),N(AI$2)=N($E28)),$E28,IF(AND(COUNT($E28),N(AI$2)&gt;=N($G$2),N(AI$2)&lt;N($E28))," ",""))</f>
        <v/>
      </c>
      <c r="AJ28" s="23">
        <f>IF(AND(COUNT($E28),N(AJ$2)=N($E28)),$E28,IF(AND(COUNT($E28),N(AJ$2)&gt;=N($G$2),N(AJ$2)&lt;N($E28))," ",""))</f>
        <v/>
      </c>
      <c r="AK28" s="23">
        <f>IF(AND(COUNT($E28),N(AK$2)=N($E28)),$E28,IF(AND(COUNT($E28),N(AK$2)&gt;=N($G$2),N(AK$2)&lt;N($E28))," ",""))</f>
        <v/>
      </c>
      <c r="AL28" s="23">
        <f>IF(AND(COUNT($E28),N(AL$2)=N($E28)),$E28,IF(AND(COUNT($E28),N(AL$2)&gt;=N($G$2),N(AL$2)&lt;N($E28))," ",""))</f>
        <v/>
      </c>
      <c r="AM28" s="23">
        <f>IF(AND(COUNT($E28),N(AM$2)=N($E28)),$E28,IF(AND(COUNT($E28),N(AM$2)&gt;=N($G$2),N(AM$2)&lt;N($E28))," ",""))</f>
        <v/>
      </c>
      <c r="AN28" s="23">
        <f>IF(AND(COUNT($E28),N(AN$2)=N($E28)),$E28,IF(AND(COUNT($E28),N(AN$2)&gt;=N($G$2),N(AN$2)&lt;N($E28))," ",""))</f>
        <v/>
      </c>
      <c r="AO28" s="23">
        <f>IF(AND(COUNT($E28),N(AO$2)=N($E28)),$E28,IF(AND(COUNT($E28),N(AO$2)&gt;=N($G$2),N(AO$2)&lt;N($E28))," ",""))</f>
        <v/>
      </c>
      <c r="AP28" s="23">
        <f>IF(AND(COUNT($E28),N(AP$2)=N($E28)),$E28,IF(AND(COUNT($E28),N(AP$2)&gt;=N($G$2),N(AP$2)&lt;N($E28))," ",""))</f>
        <v/>
      </c>
      <c r="AQ28" s="23">
        <f>IF(AND(COUNT($E28),N(AQ$2)=N($E28)),$E28,IF(AND(COUNT($E28),N(AQ$2)&gt;=N($G$2),N(AQ$2)&lt;N($E28))," ",""))</f>
        <v/>
      </c>
      <c r="AR28" s="23">
        <f>IF(AND(COUNT($E28),N(AR$2)=N($E28)),$E28,IF(AND(COUNT($E28),N(AR$2)&gt;=N($G$2),N(AR$2)&lt;N($E28))," ",""))</f>
        <v/>
      </c>
      <c r="AS28" s="23">
        <f>IF(AND(COUNT($E28),N(AS$2)=N($E28)),$E28,IF(AND(COUNT($E28),N(AS$2)&gt;=N($G$2),N(AS$2)&lt;N($E28))," ",""))</f>
        <v/>
      </c>
      <c r="AT28" s="23">
        <f>IF(AND(COUNT($E28),N(AT$2)=N($E28)),$E28,IF(AND(COUNT($E28),N(AT$2)&gt;=N($G$2),N(AT$2)&lt;N($E28))," ",""))</f>
        <v/>
      </c>
      <c r="AU28" s="23">
        <f>IF(AND(COUNT($E28),N(AU$2)=N($E28)),$E28,IF(AND(COUNT($E28),N(AU$2)&gt;=N($G$2),N(AU$2)&lt;N($E28))," ",""))</f>
        <v/>
      </c>
      <c r="AV28" s="23">
        <f>IF(AND(COUNT($E28),N(AV$2)=N($E28)),$E28,IF(AND(COUNT($E28),N(AV$2)&gt;=N($G$2),N(AV$2)&lt;N($E28))," ",""))</f>
        <v/>
      </c>
      <c r="AW28" s="23">
        <f>IF(AND(COUNT($E28),N(AW$2)=N($E28)),$E28,IF(AND(COUNT($E28),N(AW$2)&gt;=N($G$2),N(AW$2)&lt;N($E28))," ",""))</f>
        <v/>
      </c>
      <c r="AX28" s="23">
        <f>IF(AND(COUNT($E28),N(AX$2)=N($E28)),$E28,IF(AND(COUNT($E28),N(AX$2)&gt;=N($G$2),N(AX$2)&lt;N($E28))," ",""))</f>
        <v/>
      </c>
      <c r="AY28" s="23">
        <f>IF(AND(COUNT($E28),N(AY$2)=N($E28)),$E28,IF(AND(COUNT($E28),N(AY$2)&gt;=N($G$2),N(AY$2)&lt;N($E28))," ",""))</f>
        <v/>
      </c>
      <c r="AZ28" s="23">
        <f>IF(AND(COUNT($E28),N(AZ$2)=N($E28)),$E28,IF(AND(COUNT($E28),N(AZ$2)&gt;=N($G$2),N(AZ$2)&lt;N($E28))," ",""))</f>
        <v/>
      </c>
      <c r="BA28" s="23">
        <f>IF(AND(COUNT($E28),N(BA$2)=N($E28)),$E28,IF(AND(COUNT($E28),N(BA$2)&gt;=N($G$2),N(BA$2)&lt;N($E28))," ",""))</f>
        <v/>
      </c>
      <c r="BB28" s="23">
        <f>IF(AND(COUNT($E28),N(BB$2)=N($E28)),$E28,IF(AND(COUNT($E28),N(BB$2)&gt;=N($G$2),N(BB$2)&lt;N($E28))," ",""))</f>
        <v/>
      </c>
      <c r="BC28" s="23">
        <f>IF(AND(COUNT($E28),N(BC$2)=N($E28)),$E28,IF(AND(COUNT($E28),N(BC$2)&gt;=N($G$2),N(BC$2)&lt;N($E28))," ",""))</f>
        <v/>
      </c>
      <c r="BD28" s="23">
        <f>IF(AND(COUNT($E28),N(BD$2)=N($E28)),$E28,IF(AND(COUNT($E28),N(BD$2)&gt;=N($G$2),N(BD$2)&lt;N($E28))," ",""))</f>
        <v/>
      </c>
      <c r="BE28" s="23">
        <f>IF(AND(COUNT($E28),N(BE$2)=N($E28)),$E28,IF(AND(COUNT($E28),N(BE$2)&gt;=N($G$2),N(BE$2)&lt;N($E28))," ",""))</f>
        <v/>
      </c>
      <c r="BF28" s="23">
        <f>IF(AND(COUNT($E28),N(BF$2)=N($E28)),$E28,IF(AND(COUNT($E28),N(BF$2)&gt;=N($G$2),N(BF$2)&lt;N($E28))," ",""))</f>
        <v/>
      </c>
      <c r="BG28" s="23">
        <f>IF(AND(COUNT($E28),N(BG$2)=N($E28)),$E28,IF(AND(COUNT($E28),N(BG$2)&gt;=N($G$2),N(BG$2)&lt;N($E28))," ",""))</f>
        <v/>
      </c>
      <c r="BH28" s="23">
        <f>IF(AND(COUNT($E28),N(BH$2)=N($E28)),$E28,IF(AND(COUNT($E28),N(BH$2)&gt;=N($G$2),N(BH$2)&lt;N($E28))," ",""))</f>
        <v/>
      </c>
      <c r="BI28" s="23">
        <f>IF(AND(COUNT($E28),N(BI$2)=N($E28)),$E28,IF(AND(COUNT($E28),N(BI$2)&gt;=N($G$2),N(BI$2)&lt;N($E28))," ",""))</f>
        <v/>
      </c>
      <c r="BJ28" s="23">
        <f>IF(AND(COUNT($E28),N(BJ$2)=N($E28)),$E28,IF(AND(COUNT($E28),N(BJ$2)&gt;=N($G$2),N(BJ$2)&lt;N($E28))," ",""))</f>
        <v/>
      </c>
      <c r="BK28" s="23">
        <f>IF(AND(COUNT($E28),N(BK$2)=N($E28)),$E28,IF(AND(COUNT($E28),N(BK$2)&gt;=N($G$2),N(BK$2)&lt;N($E28))," ",""))</f>
        <v/>
      </c>
      <c r="BL28" s="23">
        <f>IF(AND(COUNT($E28),N(BL$2)=N($E28)),$E28,IF(AND(COUNT($E28),N(BL$2)&gt;=N($G$2),N(BL$2)&lt;N($E28))," ",""))</f>
        <v/>
      </c>
      <c r="BM28" s="23">
        <f>IF(AND(COUNT($E28),N(BM$2)=N($E28)),$E28,IF(AND(COUNT($E28),N(BM$2)&gt;=N($G$2),N(BM$2)&lt;N($E28))," ",""))</f>
        <v/>
      </c>
      <c r="BN28" s="23">
        <f>IF(AND(COUNT($E28),N(BN$2)=N($E28)),$E28,IF(AND(COUNT($E28),N(BN$2)&gt;=N($G$2),N(BN$2)&lt;N($E28))," ",""))</f>
        <v/>
      </c>
      <c r="BO28" s="23">
        <f>IF(AND(COUNT($E28),N(BO$2)=N($E28)),$E28,IF(AND(COUNT($E28),N(BO$2)&gt;=N($G$2),N(BO$2)&lt;N($E28))," ",""))</f>
        <v/>
      </c>
      <c r="BP28" s="23">
        <f>IF(AND(COUNT($E28),N(BP$2)=N($E28)),$E28,IF(AND(COUNT($E28),N(BP$2)&gt;=N($G$2),N(BP$2)&lt;N($E28))," ",""))</f>
        <v/>
      </c>
      <c r="BQ28" s="23">
        <f>IF(AND(COUNT($E28),N(BQ$2)=N($E28)),$E28,IF(AND(COUNT($E28),N(BQ$2)&gt;=N($G$2),N(BQ$2)&lt;N($E28))," ",""))</f>
        <v/>
      </c>
      <c r="BR28" s="23">
        <f>IF(AND(COUNT($E28),N(BR$2)=N($E28)),$E28,IF(AND(COUNT($E28),N(BR$2)&gt;=N($G$2),N(BR$2)&lt;N($E28))," ",""))</f>
        <v/>
      </c>
      <c r="BS28" s="23">
        <f>IF(AND(COUNT($E28),N(BS$2)=N($E28)),$E28,IF(AND(COUNT($E28),N(BS$2)&gt;=N($G$2),N(BS$2)&lt;N($E28))," ",""))</f>
        <v/>
      </c>
    </row>
    <row r="29" ht="20" customHeight="1">
      <c r="A29" s="21" t="inlineStr">
        <is>
          <t>预估</t>
        </is>
      </c>
      <c r="B29" s="21" t="inlineStr">
        <is>
          <t>第一期</t>
        </is>
      </c>
      <c r="C29" s="22" t="inlineStr">
        <is>
          <t>PAB090·工装实物到位</t>
        </is>
      </c>
      <c r="D29" s="23">
        <f>'时间节点计划表'!E15</f>
        <v/>
      </c>
      <c r="E29" s="23">
        <f>IF(COUNT('时间节点计划表'!F15),'时间节点计划表'!F15,"")</f>
        <v/>
      </c>
      <c r="F29" s="24" t="inlineStr"/>
      <c r="G29" s="25">
        <f>D29</f>
        <v/>
      </c>
      <c r="H29" s="26" t="n"/>
      <c r="I29" s="26" t="n"/>
      <c r="J29" s="26" t="n"/>
      <c r="K29" s="26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7" t="n"/>
      <c r="AM29" s="28" t="n"/>
      <c r="AN29" s="28" t="n"/>
      <c r="AO29" s="28" t="n"/>
      <c r="AP29" s="28" t="n"/>
      <c r="AQ29" s="28" t="n"/>
      <c r="AR29" s="28" t="n"/>
      <c r="AS29" s="28" t="n"/>
      <c r="AT29" s="28" t="n"/>
      <c r="AU29" s="28" t="n"/>
      <c r="AV29" s="28" t="n"/>
      <c r="AW29" s="28" t="n"/>
      <c r="AX29" s="28" t="n"/>
      <c r="AY29" s="28" t="n"/>
      <c r="AZ29" s="28" t="n"/>
      <c r="BA29" s="28" t="n"/>
      <c r="BB29" s="28" t="n"/>
      <c r="BC29" s="28" t="n"/>
      <c r="BD29" s="28" t="n"/>
      <c r="BE29" s="28" t="n"/>
      <c r="BF29" s="28" t="n"/>
      <c r="BG29" s="28" t="n"/>
      <c r="BH29" s="28" t="n"/>
      <c r="BI29" s="28" t="n"/>
      <c r="BJ29" s="28" t="n"/>
      <c r="BK29" s="28" t="n"/>
      <c r="BL29" s="28" t="n"/>
      <c r="BM29" s="28" t="n"/>
      <c r="BN29" s="28" t="n"/>
      <c r="BO29" s="28" t="n"/>
      <c r="BP29" s="28" t="n"/>
      <c r="BQ29" s="28" t="n"/>
      <c r="BR29" s="28" t="n"/>
      <c r="BS29" s="28" t="n"/>
    </row>
    <row r="30" ht="20" customHeight="1">
      <c r="A30" s="29" t="inlineStr">
        <is>
          <t>实际</t>
        </is>
      </c>
      <c r="B30" s="29" t="inlineStr">
        <is>
          <t>第一期</t>
        </is>
      </c>
      <c r="C30" s="30" t="inlineStr">
        <is>
          <t>PAB090·工装实物到位</t>
        </is>
      </c>
      <c r="D30" s="31">
        <f>'时间节点计划表'!E15</f>
        <v/>
      </c>
      <c r="E30" s="31">
        <f>IF(COUNT('时间节点计划表'!F15),'时间节点计划表'!F15,"")</f>
        <v/>
      </c>
      <c r="F30" s="32">
        <f>IF(OR(D30="",E30=""),"待填",E30-D30)</f>
        <v/>
      </c>
      <c r="G30" s="23">
        <f>IF(AND(COUNT($E30),N(G$2)=N($E30)),$E30,IF(AND(COUNT($E30),N(G$2)&gt;=N($G$2),N(G$2)&lt;N($E30))," ",""))</f>
        <v/>
      </c>
      <c r="H30" s="23">
        <f>IF(AND(COUNT($E30),N(H$2)=N($E30)),$E30,IF(AND(COUNT($E30),N(H$2)&gt;=N($G$2),N(H$2)&lt;N($E30))," ",""))</f>
        <v/>
      </c>
      <c r="I30" s="23">
        <f>IF(AND(COUNT($E30),N(I$2)=N($E30)),$E30,IF(AND(COUNT($E30),N(I$2)&gt;=N($G$2),N(I$2)&lt;N($E30))," ",""))</f>
        <v/>
      </c>
      <c r="J30" s="23">
        <f>IF(AND(COUNT($E30),N(J$2)=N($E30)),$E30,IF(AND(COUNT($E30),N(J$2)&gt;=N($G$2),N(J$2)&lt;N($E30))," ",""))</f>
        <v/>
      </c>
      <c r="K30" s="23">
        <f>IF(AND(COUNT($E30),N(K$2)=N($E30)),$E30,IF(AND(COUNT($E30),N(K$2)&gt;=N($G$2),N(K$2)&lt;N($E30))," ",""))</f>
        <v/>
      </c>
      <c r="L30" s="23">
        <f>IF(AND(COUNT($E30),N(L$2)=N($E30)),$E30,IF(AND(COUNT($E30),N(L$2)&gt;=N($G$2),N(L$2)&lt;N($E30))," ",""))</f>
        <v/>
      </c>
      <c r="M30" s="23">
        <f>IF(AND(COUNT($E30),N(M$2)=N($E30)),$E30,IF(AND(COUNT($E30),N(M$2)&gt;=N($G$2),N(M$2)&lt;N($E30))," ",""))</f>
        <v/>
      </c>
      <c r="N30" s="23">
        <f>IF(AND(COUNT($E30),N(N$2)=N($E30)),$E30,IF(AND(COUNT($E30),N(N$2)&gt;=N($G$2),N(N$2)&lt;N($E30))," ",""))</f>
        <v/>
      </c>
      <c r="O30" s="23">
        <f>IF(AND(COUNT($E30),N(O$2)=N($E30)),$E30,IF(AND(COUNT($E30),N(O$2)&gt;=N($G$2),N(O$2)&lt;N($E30))," ",""))</f>
        <v/>
      </c>
      <c r="P30" s="23">
        <f>IF(AND(COUNT($E30),N(P$2)=N($E30)),$E30,IF(AND(COUNT($E30),N(P$2)&gt;=N($G$2),N(P$2)&lt;N($E30))," ",""))</f>
        <v/>
      </c>
      <c r="Q30" s="23">
        <f>IF(AND(COUNT($E30),N(Q$2)=N($E30)),$E30,IF(AND(COUNT($E30),N(Q$2)&gt;=N($G$2),N(Q$2)&lt;N($E30))," ",""))</f>
        <v/>
      </c>
      <c r="R30" s="23">
        <f>IF(AND(COUNT($E30),N(R$2)=N($E30)),$E30,IF(AND(COUNT($E30),N(R$2)&gt;=N($G$2),N(R$2)&lt;N($E30))," ",""))</f>
        <v/>
      </c>
      <c r="S30" s="23">
        <f>IF(AND(COUNT($E30),N(S$2)=N($E30)),$E30,IF(AND(COUNT($E30),N(S$2)&gt;=N($G$2),N(S$2)&lt;N($E30))," ",""))</f>
        <v/>
      </c>
      <c r="T30" s="23">
        <f>IF(AND(COUNT($E30),N(T$2)=N($E30)),$E30,IF(AND(COUNT($E30),N(T$2)&gt;=N($G$2),N(T$2)&lt;N($E30))," ",""))</f>
        <v/>
      </c>
      <c r="U30" s="23">
        <f>IF(AND(COUNT($E30),N(U$2)=N($E30)),$E30,IF(AND(COUNT($E30),N(U$2)&gt;=N($G$2),N(U$2)&lt;N($E30))," ",""))</f>
        <v/>
      </c>
      <c r="V30" s="23">
        <f>IF(AND(COUNT($E30),N(V$2)=N($E30)),$E30,IF(AND(COUNT($E30),N(V$2)&gt;=N($G$2),N(V$2)&lt;N($E30))," ",""))</f>
        <v/>
      </c>
      <c r="W30" s="23">
        <f>IF(AND(COUNT($E30),N(W$2)=N($E30)),$E30,IF(AND(COUNT($E30),N(W$2)&gt;=N($G$2),N(W$2)&lt;N($E30))," ",""))</f>
        <v/>
      </c>
      <c r="X30" s="23">
        <f>IF(AND(COUNT($E30),N(X$2)=N($E30)),$E30,IF(AND(COUNT($E30),N(X$2)&gt;=N($G$2),N(X$2)&lt;N($E30))," ",""))</f>
        <v/>
      </c>
      <c r="Y30" s="23">
        <f>IF(AND(COUNT($E30),N(Y$2)=N($E30)),$E30,IF(AND(COUNT($E30),N(Y$2)&gt;=N($G$2),N(Y$2)&lt;N($E30))," ",""))</f>
        <v/>
      </c>
      <c r="Z30" s="23">
        <f>IF(AND(COUNT($E30),N(Z$2)=N($E30)),$E30,IF(AND(COUNT($E30),N(Z$2)&gt;=N($G$2),N(Z$2)&lt;N($E30))," ",""))</f>
        <v/>
      </c>
      <c r="AA30" s="23">
        <f>IF(AND(COUNT($E30),N(AA$2)=N($E30)),$E30,IF(AND(COUNT($E30),N(AA$2)&gt;=N($G$2),N(AA$2)&lt;N($E30))," ",""))</f>
        <v/>
      </c>
      <c r="AB30" s="23">
        <f>IF(AND(COUNT($E30),N(AB$2)=N($E30)),$E30,IF(AND(COUNT($E30),N(AB$2)&gt;=N($G$2),N(AB$2)&lt;N($E30))," ",""))</f>
        <v/>
      </c>
      <c r="AC30" s="23">
        <f>IF(AND(COUNT($E30),N(AC$2)=N($E30)),$E30,IF(AND(COUNT($E30),N(AC$2)&gt;=N($G$2),N(AC$2)&lt;N($E30))," ",""))</f>
        <v/>
      </c>
      <c r="AD30" s="23">
        <f>IF(AND(COUNT($E30),N(AD$2)=N($E30)),$E30,IF(AND(COUNT($E30),N(AD$2)&gt;=N($G$2),N(AD$2)&lt;N($E30))," ",""))</f>
        <v/>
      </c>
      <c r="AE30" s="23">
        <f>IF(AND(COUNT($E30),N(AE$2)=N($E30)),$E30,IF(AND(COUNT($E30),N(AE$2)&gt;=N($G$2),N(AE$2)&lt;N($E30))," ",""))</f>
        <v/>
      </c>
      <c r="AF30" s="23">
        <f>IF(AND(COUNT($E30),N(AF$2)=N($E30)),$E30,IF(AND(COUNT($E30),N(AF$2)&gt;=N($G$2),N(AF$2)&lt;N($E30))," ",""))</f>
        <v/>
      </c>
      <c r="AG30" s="23">
        <f>IF(AND(COUNT($E30),N(AG$2)=N($E30)),$E30,IF(AND(COUNT($E30),N(AG$2)&gt;=N($G$2),N(AG$2)&lt;N($E30))," ",""))</f>
        <v/>
      </c>
      <c r="AH30" s="23">
        <f>IF(AND(COUNT($E30),N(AH$2)=N($E30)),$E30,IF(AND(COUNT($E30),N(AH$2)&gt;=N($G$2),N(AH$2)&lt;N($E30))," ",""))</f>
        <v/>
      </c>
      <c r="AI30" s="23">
        <f>IF(AND(COUNT($E30),N(AI$2)=N($E30)),$E30,IF(AND(COUNT($E30),N(AI$2)&gt;=N($G$2),N(AI$2)&lt;N($E30))," ",""))</f>
        <v/>
      </c>
      <c r="AJ30" s="23">
        <f>IF(AND(COUNT($E30),N(AJ$2)=N($E30)),$E30,IF(AND(COUNT($E30),N(AJ$2)&gt;=N($G$2),N(AJ$2)&lt;N($E30))," ",""))</f>
        <v/>
      </c>
      <c r="AK30" s="23">
        <f>IF(AND(COUNT($E30),N(AK$2)=N($E30)),$E30,IF(AND(COUNT($E30),N(AK$2)&gt;=N($G$2),N(AK$2)&lt;N($E30))," ",""))</f>
        <v/>
      </c>
      <c r="AL30" s="23">
        <f>IF(AND(COUNT($E30),N(AL$2)=N($E30)),$E30,IF(AND(COUNT($E30),N(AL$2)&gt;=N($G$2),N(AL$2)&lt;N($E30))," ",""))</f>
        <v/>
      </c>
      <c r="AM30" s="23">
        <f>IF(AND(COUNT($E30),N(AM$2)=N($E30)),$E30,IF(AND(COUNT($E30),N(AM$2)&gt;=N($G$2),N(AM$2)&lt;N($E30))," ",""))</f>
        <v/>
      </c>
      <c r="AN30" s="23">
        <f>IF(AND(COUNT($E30),N(AN$2)=N($E30)),$E30,IF(AND(COUNT($E30),N(AN$2)&gt;=N($G$2),N(AN$2)&lt;N($E30))," ",""))</f>
        <v/>
      </c>
      <c r="AO30" s="23">
        <f>IF(AND(COUNT($E30),N(AO$2)=N($E30)),$E30,IF(AND(COUNT($E30),N(AO$2)&gt;=N($G$2),N(AO$2)&lt;N($E30))," ",""))</f>
        <v/>
      </c>
      <c r="AP30" s="23">
        <f>IF(AND(COUNT($E30),N(AP$2)=N($E30)),$E30,IF(AND(COUNT($E30),N(AP$2)&gt;=N($G$2),N(AP$2)&lt;N($E30))," ",""))</f>
        <v/>
      </c>
      <c r="AQ30" s="23">
        <f>IF(AND(COUNT($E30),N(AQ$2)=N($E30)),$E30,IF(AND(COUNT($E30),N(AQ$2)&gt;=N($G$2),N(AQ$2)&lt;N($E30))," ",""))</f>
        <v/>
      </c>
      <c r="AR30" s="23">
        <f>IF(AND(COUNT($E30),N(AR$2)=N($E30)),$E30,IF(AND(COUNT($E30),N(AR$2)&gt;=N($G$2),N(AR$2)&lt;N($E30))," ",""))</f>
        <v/>
      </c>
      <c r="AS30" s="23">
        <f>IF(AND(COUNT($E30),N(AS$2)=N($E30)),$E30,IF(AND(COUNT($E30),N(AS$2)&gt;=N($G$2),N(AS$2)&lt;N($E30))," ",""))</f>
        <v/>
      </c>
      <c r="AT30" s="23">
        <f>IF(AND(COUNT($E30),N(AT$2)=N($E30)),$E30,IF(AND(COUNT($E30),N(AT$2)&gt;=N($G$2),N(AT$2)&lt;N($E30))," ",""))</f>
        <v/>
      </c>
      <c r="AU30" s="23">
        <f>IF(AND(COUNT($E30),N(AU$2)=N($E30)),$E30,IF(AND(COUNT($E30),N(AU$2)&gt;=N($G$2),N(AU$2)&lt;N($E30))," ",""))</f>
        <v/>
      </c>
      <c r="AV30" s="23">
        <f>IF(AND(COUNT($E30),N(AV$2)=N($E30)),$E30,IF(AND(COUNT($E30),N(AV$2)&gt;=N($G$2),N(AV$2)&lt;N($E30))," ",""))</f>
        <v/>
      </c>
      <c r="AW30" s="23">
        <f>IF(AND(COUNT($E30),N(AW$2)=N($E30)),$E30,IF(AND(COUNT($E30),N(AW$2)&gt;=N($G$2),N(AW$2)&lt;N($E30))," ",""))</f>
        <v/>
      </c>
      <c r="AX30" s="23">
        <f>IF(AND(COUNT($E30),N(AX$2)=N($E30)),$E30,IF(AND(COUNT($E30),N(AX$2)&gt;=N($G$2),N(AX$2)&lt;N($E30))," ",""))</f>
        <v/>
      </c>
      <c r="AY30" s="23">
        <f>IF(AND(COUNT($E30),N(AY$2)=N($E30)),$E30,IF(AND(COUNT($E30),N(AY$2)&gt;=N($G$2),N(AY$2)&lt;N($E30))," ",""))</f>
        <v/>
      </c>
      <c r="AZ30" s="23">
        <f>IF(AND(COUNT($E30),N(AZ$2)=N($E30)),$E30,IF(AND(COUNT($E30),N(AZ$2)&gt;=N($G$2),N(AZ$2)&lt;N($E30))," ",""))</f>
        <v/>
      </c>
      <c r="BA30" s="23">
        <f>IF(AND(COUNT($E30),N(BA$2)=N($E30)),$E30,IF(AND(COUNT($E30),N(BA$2)&gt;=N($G$2),N(BA$2)&lt;N($E30))," ",""))</f>
        <v/>
      </c>
      <c r="BB30" s="23">
        <f>IF(AND(COUNT($E30),N(BB$2)=N($E30)),$E30,IF(AND(COUNT($E30),N(BB$2)&gt;=N($G$2),N(BB$2)&lt;N($E30))," ",""))</f>
        <v/>
      </c>
      <c r="BC30" s="23">
        <f>IF(AND(COUNT($E30),N(BC$2)=N($E30)),$E30,IF(AND(COUNT($E30),N(BC$2)&gt;=N($G$2),N(BC$2)&lt;N($E30))," ",""))</f>
        <v/>
      </c>
      <c r="BD30" s="23">
        <f>IF(AND(COUNT($E30),N(BD$2)=N($E30)),$E30,IF(AND(COUNT($E30),N(BD$2)&gt;=N($G$2),N(BD$2)&lt;N($E30))," ",""))</f>
        <v/>
      </c>
      <c r="BE30" s="23">
        <f>IF(AND(COUNT($E30),N(BE$2)=N($E30)),$E30,IF(AND(COUNT($E30),N(BE$2)&gt;=N($G$2),N(BE$2)&lt;N($E30))," ",""))</f>
        <v/>
      </c>
      <c r="BF30" s="23">
        <f>IF(AND(COUNT($E30),N(BF$2)=N($E30)),$E30,IF(AND(COUNT($E30),N(BF$2)&gt;=N($G$2),N(BF$2)&lt;N($E30))," ",""))</f>
        <v/>
      </c>
      <c r="BG30" s="23">
        <f>IF(AND(COUNT($E30),N(BG$2)=N($E30)),$E30,IF(AND(COUNT($E30),N(BG$2)&gt;=N($G$2),N(BG$2)&lt;N($E30))," ",""))</f>
        <v/>
      </c>
      <c r="BH30" s="23">
        <f>IF(AND(COUNT($E30),N(BH$2)=N($E30)),$E30,IF(AND(COUNT($E30),N(BH$2)&gt;=N($G$2),N(BH$2)&lt;N($E30))," ",""))</f>
        <v/>
      </c>
      <c r="BI30" s="23">
        <f>IF(AND(COUNT($E30),N(BI$2)=N($E30)),$E30,IF(AND(COUNT($E30),N(BI$2)&gt;=N($G$2),N(BI$2)&lt;N($E30))," ",""))</f>
        <v/>
      </c>
      <c r="BJ30" s="23">
        <f>IF(AND(COUNT($E30),N(BJ$2)=N($E30)),$E30,IF(AND(COUNT($E30),N(BJ$2)&gt;=N($G$2),N(BJ$2)&lt;N($E30))," ",""))</f>
        <v/>
      </c>
      <c r="BK30" s="23">
        <f>IF(AND(COUNT($E30),N(BK$2)=N($E30)),$E30,IF(AND(COUNT($E30),N(BK$2)&gt;=N($G$2),N(BK$2)&lt;N($E30))," ",""))</f>
        <v/>
      </c>
      <c r="BL30" s="23">
        <f>IF(AND(COUNT($E30),N(BL$2)=N($E30)),$E30,IF(AND(COUNT($E30),N(BL$2)&gt;=N($G$2),N(BL$2)&lt;N($E30))," ",""))</f>
        <v/>
      </c>
      <c r="BM30" s="23">
        <f>IF(AND(COUNT($E30),N(BM$2)=N($E30)),$E30,IF(AND(COUNT($E30),N(BM$2)&gt;=N($G$2),N(BM$2)&lt;N($E30))," ",""))</f>
        <v/>
      </c>
      <c r="BN30" s="23">
        <f>IF(AND(COUNT($E30),N(BN$2)=N($E30)),$E30,IF(AND(COUNT($E30),N(BN$2)&gt;=N($G$2),N(BN$2)&lt;N($E30))," ",""))</f>
        <v/>
      </c>
      <c r="BO30" s="23">
        <f>IF(AND(COUNT($E30),N(BO$2)=N($E30)),$E30,IF(AND(COUNT($E30),N(BO$2)&gt;=N($G$2),N(BO$2)&lt;N($E30))," ",""))</f>
        <v/>
      </c>
      <c r="BP30" s="23">
        <f>IF(AND(COUNT($E30),N(BP$2)=N($E30)),$E30,IF(AND(COUNT($E30),N(BP$2)&gt;=N($G$2),N(BP$2)&lt;N($E30))," ",""))</f>
        <v/>
      </c>
      <c r="BQ30" s="23">
        <f>IF(AND(COUNT($E30),N(BQ$2)=N($E30)),$E30,IF(AND(COUNT($E30),N(BQ$2)&gt;=N($G$2),N(BQ$2)&lt;N($E30))," ",""))</f>
        <v/>
      </c>
      <c r="BR30" s="23">
        <f>IF(AND(COUNT($E30),N(BR$2)=N($E30)),$E30,IF(AND(COUNT($E30),N(BR$2)&gt;=N($G$2),N(BR$2)&lt;N($E30))," ",""))</f>
        <v/>
      </c>
      <c r="BS30" s="23">
        <f>IF(AND(COUNT($E30),N(BS$2)=N($E30)),$E30,IF(AND(COUNT($E30),N(BS$2)&gt;=N($G$2),N(BS$2)&lt;N($E30))," ",""))</f>
        <v/>
      </c>
    </row>
    <row r="31" ht="20" customHeight="1">
      <c r="A31" s="21" t="inlineStr">
        <is>
          <t>预估</t>
        </is>
      </c>
      <c r="B31" s="21" t="inlineStr">
        <is>
          <t>第一期</t>
        </is>
      </c>
      <c r="C31" s="22" t="inlineStr">
        <is>
          <t>PAB090·排针机安装调试</t>
        </is>
      </c>
      <c r="D31" s="23">
        <f>'时间节点计划表'!E16</f>
        <v/>
      </c>
      <c r="E31" s="23">
        <f>IF(COUNT('时间节点计划表'!F16),'时间节点计划表'!F16,"")</f>
        <v/>
      </c>
      <c r="F31" s="24" t="inlineStr"/>
      <c r="G31" s="25">
        <f>D31</f>
        <v/>
      </c>
      <c r="H31" s="26" t="n"/>
      <c r="I31" s="26" t="n"/>
      <c r="J31" s="26" t="n"/>
      <c r="K31" s="26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6" t="n"/>
      <c r="AC31" s="26" t="n"/>
      <c r="AD31" s="26" t="n"/>
      <c r="AE31" s="26" t="n"/>
      <c r="AF31" s="26" t="n"/>
      <c r="AG31" s="26" t="n"/>
      <c r="AH31" s="26" t="n"/>
      <c r="AI31" s="26" t="n"/>
      <c r="AJ31" s="26" t="n"/>
      <c r="AK31" s="26" t="n"/>
      <c r="AL31" s="26" t="n"/>
      <c r="AM31" s="26" t="n"/>
      <c r="AN31" s="26" t="n"/>
      <c r="AO31" s="26" t="n"/>
      <c r="AP31" s="26" t="n"/>
      <c r="AQ31" s="26" t="n"/>
      <c r="AR31" s="26" t="n"/>
      <c r="AS31" s="27" t="n"/>
      <c r="AT31" s="28" t="n"/>
      <c r="AU31" s="28" t="n"/>
      <c r="AV31" s="28" t="n"/>
      <c r="AW31" s="28" t="n"/>
      <c r="AX31" s="28" t="n"/>
      <c r="AY31" s="28" t="n"/>
      <c r="AZ31" s="28" t="n"/>
      <c r="BA31" s="28" t="n"/>
      <c r="BB31" s="28" t="n"/>
      <c r="BC31" s="28" t="n"/>
      <c r="BD31" s="28" t="n"/>
      <c r="BE31" s="28" t="n"/>
      <c r="BF31" s="28" t="n"/>
      <c r="BG31" s="28" t="n"/>
      <c r="BH31" s="28" t="n"/>
      <c r="BI31" s="28" t="n"/>
      <c r="BJ31" s="28" t="n"/>
      <c r="BK31" s="28" t="n"/>
      <c r="BL31" s="28" t="n"/>
      <c r="BM31" s="28" t="n"/>
      <c r="BN31" s="28" t="n"/>
      <c r="BO31" s="28" t="n"/>
      <c r="BP31" s="28" t="n"/>
      <c r="BQ31" s="28" t="n"/>
      <c r="BR31" s="28" t="n"/>
      <c r="BS31" s="28" t="n"/>
    </row>
    <row r="32" ht="20" customHeight="1">
      <c r="A32" s="29" t="inlineStr">
        <is>
          <t>实际</t>
        </is>
      </c>
      <c r="B32" s="29" t="inlineStr">
        <is>
          <t>第一期</t>
        </is>
      </c>
      <c r="C32" s="30" t="inlineStr">
        <is>
          <t>PAB090·排针机安装调试</t>
        </is>
      </c>
      <c r="D32" s="31">
        <f>'时间节点计划表'!E16</f>
        <v/>
      </c>
      <c r="E32" s="31">
        <f>IF(COUNT('时间节点计划表'!F16),'时间节点计划表'!F16,"")</f>
        <v/>
      </c>
      <c r="F32" s="32">
        <f>IF(OR(D32="",E32=""),"待填",E32-D32)</f>
        <v/>
      </c>
      <c r="G32" s="23">
        <f>IF(AND(COUNT($E32),N(G$2)=N($E32)),$E32,IF(AND(COUNT($E32),N(G$2)&gt;=N($G$2),N(G$2)&lt;N($E32))," ",""))</f>
        <v/>
      </c>
      <c r="H32" s="23">
        <f>IF(AND(COUNT($E32),N(H$2)=N($E32)),$E32,IF(AND(COUNT($E32),N(H$2)&gt;=N($G$2),N(H$2)&lt;N($E32))," ",""))</f>
        <v/>
      </c>
      <c r="I32" s="23">
        <f>IF(AND(COUNT($E32),N(I$2)=N($E32)),$E32,IF(AND(COUNT($E32),N(I$2)&gt;=N($G$2),N(I$2)&lt;N($E32))," ",""))</f>
        <v/>
      </c>
      <c r="J32" s="23">
        <f>IF(AND(COUNT($E32),N(J$2)=N($E32)),$E32,IF(AND(COUNT($E32),N(J$2)&gt;=N($G$2),N(J$2)&lt;N($E32))," ",""))</f>
        <v/>
      </c>
      <c r="K32" s="23">
        <f>IF(AND(COUNT($E32),N(K$2)=N($E32)),$E32,IF(AND(COUNT($E32),N(K$2)&gt;=N($G$2),N(K$2)&lt;N($E32))," ",""))</f>
        <v/>
      </c>
      <c r="L32" s="23">
        <f>IF(AND(COUNT($E32),N(L$2)=N($E32)),$E32,IF(AND(COUNT($E32),N(L$2)&gt;=N($G$2),N(L$2)&lt;N($E32))," ",""))</f>
        <v/>
      </c>
      <c r="M32" s="23">
        <f>IF(AND(COUNT($E32),N(M$2)=N($E32)),$E32,IF(AND(COUNT($E32),N(M$2)&gt;=N($G$2),N(M$2)&lt;N($E32))," ",""))</f>
        <v/>
      </c>
      <c r="N32" s="23">
        <f>IF(AND(COUNT($E32),N(N$2)=N($E32)),$E32,IF(AND(COUNT($E32),N(N$2)&gt;=N($G$2),N(N$2)&lt;N($E32))," ",""))</f>
        <v/>
      </c>
      <c r="O32" s="23">
        <f>IF(AND(COUNT($E32),N(O$2)=N($E32)),$E32,IF(AND(COUNT($E32),N(O$2)&gt;=N($G$2),N(O$2)&lt;N($E32))," ",""))</f>
        <v/>
      </c>
      <c r="P32" s="23">
        <f>IF(AND(COUNT($E32),N(P$2)=N($E32)),$E32,IF(AND(COUNT($E32),N(P$2)&gt;=N($G$2),N(P$2)&lt;N($E32))," ",""))</f>
        <v/>
      </c>
      <c r="Q32" s="23">
        <f>IF(AND(COUNT($E32),N(Q$2)=N($E32)),$E32,IF(AND(COUNT($E32),N(Q$2)&gt;=N($G$2),N(Q$2)&lt;N($E32))," ",""))</f>
        <v/>
      </c>
      <c r="R32" s="23">
        <f>IF(AND(COUNT($E32),N(R$2)=N($E32)),$E32,IF(AND(COUNT($E32),N(R$2)&gt;=N($G$2),N(R$2)&lt;N($E32))," ",""))</f>
        <v/>
      </c>
      <c r="S32" s="23">
        <f>IF(AND(COUNT($E32),N(S$2)=N($E32)),$E32,IF(AND(COUNT($E32),N(S$2)&gt;=N($G$2),N(S$2)&lt;N($E32))," ",""))</f>
        <v/>
      </c>
      <c r="T32" s="23">
        <f>IF(AND(COUNT($E32),N(T$2)=N($E32)),$E32,IF(AND(COUNT($E32),N(T$2)&gt;=N($G$2),N(T$2)&lt;N($E32))," ",""))</f>
        <v/>
      </c>
      <c r="U32" s="23">
        <f>IF(AND(COUNT($E32),N(U$2)=N($E32)),$E32,IF(AND(COUNT($E32),N(U$2)&gt;=N($G$2),N(U$2)&lt;N($E32))," ",""))</f>
        <v/>
      </c>
      <c r="V32" s="23">
        <f>IF(AND(COUNT($E32),N(V$2)=N($E32)),$E32,IF(AND(COUNT($E32),N(V$2)&gt;=N($G$2),N(V$2)&lt;N($E32))," ",""))</f>
        <v/>
      </c>
      <c r="W32" s="23">
        <f>IF(AND(COUNT($E32),N(W$2)=N($E32)),$E32,IF(AND(COUNT($E32),N(W$2)&gt;=N($G$2),N(W$2)&lt;N($E32))," ",""))</f>
        <v/>
      </c>
      <c r="X32" s="23">
        <f>IF(AND(COUNT($E32),N(X$2)=N($E32)),$E32,IF(AND(COUNT($E32),N(X$2)&gt;=N($G$2),N(X$2)&lt;N($E32))," ",""))</f>
        <v/>
      </c>
      <c r="Y32" s="23">
        <f>IF(AND(COUNT($E32),N(Y$2)=N($E32)),$E32,IF(AND(COUNT($E32),N(Y$2)&gt;=N($G$2),N(Y$2)&lt;N($E32))," ",""))</f>
        <v/>
      </c>
      <c r="Z32" s="23">
        <f>IF(AND(COUNT($E32),N(Z$2)=N($E32)),$E32,IF(AND(COUNT($E32),N(Z$2)&gt;=N($G$2),N(Z$2)&lt;N($E32))," ",""))</f>
        <v/>
      </c>
      <c r="AA32" s="23">
        <f>IF(AND(COUNT($E32),N(AA$2)=N($E32)),$E32,IF(AND(COUNT($E32),N(AA$2)&gt;=N($G$2),N(AA$2)&lt;N($E32))," ",""))</f>
        <v/>
      </c>
      <c r="AB32" s="23">
        <f>IF(AND(COUNT($E32),N(AB$2)=N($E32)),$E32,IF(AND(COUNT($E32),N(AB$2)&gt;=N($G$2),N(AB$2)&lt;N($E32))," ",""))</f>
        <v/>
      </c>
      <c r="AC32" s="23">
        <f>IF(AND(COUNT($E32),N(AC$2)=N($E32)),$E32,IF(AND(COUNT($E32),N(AC$2)&gt;=N($G$2),N(AC$2)&lt;N($E32))," ",""))</f>
        <v/>
      </c>
      <c r="AD32" s="23">
        <f>IF(AND(COUNT($E32),N(AD$2)=N($E32)),$E32,IF(AND(COUNT($E32),N(AD$2)&gt;=N($G$2),N(AD$2)&lt;N($E32))," ",""))</f>
        <v/>
      </c>
      <c r="AE32" s="23">
        <f>IF(AND(COUNT($E32),N(AE$2)=N($E32)),$E32,IF(AND(COUNT($E32),N(AE$2)&gt;=N($G$2),N(AE$2)&lt;N($E32))," ",""))</f>
        <v/>
      </c>
      <c r="AF32" s="23">
        <f>IF(AND(COUNT($E32),N(AF$2)=N($E32)),$E32,IF(AND(COUNT($E32),N(AF$2)&gt;=N($G$2),N(AF$2)&lt;N($E32))," ",""))</f>
        <v/>
      </c>
      <c r="AG32" s="23">
        <f>IF(AND(COUNT($E32),N(AG$2)=N($E32)),$E32,IF(AND(COUNT($E32),N(AG$2)&gt;=N($G$2),N(AG$2)&lt;N($E32))," ",""))</f>
        <v/>
      </c>
      <c r="AH32" s="23">
        <f>IF(AND(COUNT($E32),N(AH$2)=N($E32)),$E32,IF(AND(COUNT($E32),N(AH$2)&gt;=N($G$2),N(AH$2)&lt;N($E32))," ",""))</f>
        <v/>
      </c>
      <c r="AI32" s="23">
        <f>IF(AND(COUNT($E32),N(AI$2)=N($E32)),$E32,IF(AND(COUNT($E32),N(AI$2)&gt;=N($G$2),N(AI$2)&lt;N($E32))," ",""))</f>
        <v/>
      </c>
      <c r="AJ32" s="23">
        <f>IF(AND(COUNT($E32),N(AJ$2)=N($E32)),$E32,IF(AND(COUNT($E32),N(AJ$2)&gt;=N($G$2),N(AJ$2)&lt;N($E32))," ",""))</f>
        <v/>
      </c>
      <c r="AK32" s="23">
        <f>IF(AND(COUNT($E32),N(AK$2)=N($E32)),$E32,IF(AND(COUNT($E32),N(AK$2)&gt;=N($G$2),N(AK$2)&lt;N($E32))," ",""))</f>
        <v/>
      </c>
      <c r="AL32" s="23">
        <f>IF(AND(COUNT($E32),N(AL$2)=N($E32)),$E32,IF(AND(COUNT($E32),N(AL$2)&gt;=N($G$2),N(AL$2)&lt;N($E32))," ",""))</f>
        <v/>
      </c>
      <c r="AM32" s="23">
        <f>IF(AND(COUNT($E32),N(AM$2)=N($E32)),$E32,IF(AND(COUNT($E32),N(AM$2)&gt;=N($G$2),N(AM$2)&lt;N($E32))," ",""))</f>
        <v/>
      </c>
      <c r="AN32" s="23">
        <f>IF(AND(COUNT($E32),N(AN$2)=N($E32)),$E32,IF(AND(COUNT($E32),N(AN$2)&gt;=N($G$2),N(AN$2)&lt;N($E32))," ",""))</f>
        <v/>
      </c>
      <c r="AO32" s="23">
        <f>IF(AND(COUNT($E32),N(AO$2)=N($E32)),$E32,IF(AND(COUNT($E32),N(AO$2)&gt;=N($G$2),N(AO$2)&lt;N($E32))," ",""))</f>
        <v/>
      </c>
      <c r="AP32" s="23">
        <f>IF(AND(COUNT($E32),N(AP$2)=N($E32)),$E32,IF(AND(COUNT($E32),N(AP$2)&gt;=N($G$2),N(AP$2)&lt;N($E32))," ",""))</f>
        <v/>
      </c>
      <c r="AQ32" s="23">
        <f>IF(AND(COUNT($E32),N(AQ$2)=N($E32)),$E32,IF(AND(COUNT($E32),N(AQ$2)&gt;=N($G$2),N(AQ$2)&lt;N($E32))," ",""))</f>
        <v/>
      </c>
      <c r="AR32" s="23">
        <f>IF(AND(COUNT($E32),N(AR$2)=N($E32)),$E32,IF(AND(COUNT($E32),N(AR$2)&gt;=N($G$2),N(AR$2)&lt;N($E32))," ",""))</f>
        <v/>
      </c>
      <c r="AS32" s="23">
        <f>IF(AND(COUNT($E32),N(AS$2)=N($E32)),$E32,IF(AND(COUNT($E32),N(AS$2)&gt;=N($G$2),N(AS$2)&lt;N($E32))," ",""))</f>
        <v/>
      </c>
      <c r="AT32" s="23">
        <f>IF(AND(COUNT($E32),N(AT$2)=N($E32)),$E32,IF(AND(COUNT($E32),N(AT$2)&gt;=N($G$2),N(AT$2)&lt;N($E32))," ",""))</f>
        <v/>
      </c>
      <c r="AU32" s="23">
        <f>IF(AND(COUNT($E32),N(AU$2)=N($E32)),$E32,IF(AND(COUNT($E32),N(AU$2)&gt;=N($G$2),N(AU$2)&lt;N($E32))," ",""))</f>
        <v/>
      </c>
      <c r="AV32" s="23">
        <f>IF(AND(COUNT($E32),N(AV$2)=N($E32)),$E32,IF(AND(COUNT($E32),N(AV$2)&gt;=N($G$2),N(AV$2)&lt;N($E32))," ",""))</f>
        <v/>
      </c>
      <c r="AW32" s="23">
        <f>IF(AND(COUNT($E32),N(AW$2)=N($E32)),$E32,IF(AND(COUNT($E32),N(AW$2)&gt;=N($G$2),N(AW$2)&lt;N($E32))," ",""))</f>
        <v/>
      </c>
      <c r="AX32" s="23">
        <f>IF(AND(COUNT($E32),N(AX$2)=N($E32)),$E32,IF(AND(COUNT($E32),N(AX$2)&gt;=N($G$2),N(AX$2)&lt;N($E32))," ",""))</f>
        <v/>
      </c>
      <c r="AY32" s="23">
        <f>IF(AND(COUNT($E32),N(AY$2)=N($E32)),$E32,IF(AND(COUNT($E32),N(AY$2)&gt;=N($G$2),N(AY$2)&lt;N($E32))," ",""))</f>
        <v/>
      </c>
      <c r="AZ32" s="23">
        <f>IF(AND(COUNT($E32),N(AZ$2)=N($E32)),$E32,IF(AND(COUNT($E32),N(AZ$2)&gt;=N($G$2),N(AZ$2)&lt;N($E32))," ",""))</f>
        <v/>
      </c>
      <c r="BA32" s="23">
        <f>IF(AND(COUNT($E32),N(BA$2)=N($E32)),$E32,IF(AND(COUNT($E32),N(BA$2)&gt;=N($G$2),N(BA$2)&lt;N($E32))," ",""))</f>
        <v/>
      </c>
      <c r="BB32" s="23">
        <f>IF(AND(COUNT($E32),N(BB$2)=N($E32)),$E32,IF(AND(COUNT($E32),N(BB$2)&gt;=N($G$2),N(BB$2)&lt;N($E32))," ",""))</f>
        <v/>
      </c>
      <c r="BC32" s="23">
        <f>IF(AND(COUNT($E32),N(BC$2)=N($E32)),$E32,IF(AND(COUNT($E32),N(BC$2)&gt;=N($G$2),N(BC$2)&lt;N($E32))," ",""))</f>
        <v/>
      </c>
      <c r="BD32" s="23">
        <f>IF(AND(COUNT($E32),N(BD$2)=N($E32)),$E32,IF(AND(COUNT($E32),N(BD$2)&gt;=N($G$2),N(BD$2)&lt;N($E32))," ",""))</f>
        <v/>
      </c>
      <c r="BE32" s="23">
        <f>IF(AND(COUNT($E32),N(BE$2)=N($E32)),$E32,IF(AND(COUNT($E32),N(BE$2)&gt;=N($G$2),N(BE$2)&lt;N($E32))," ",""))</f>
        <v/>
      </c>
      <c r="BF32" s="23">
        <f>IF(AND(COUNT($E32),N(BF$2)=N($E32)),$E32,IF(AND(COUNT($E32),N(BF$2)&gt;=N($G$2),N(BF$2)&lt;N($E32))," ",""))</f>
        <v/>
      </c>
      <c r="BG32" s="23">
        <f>IF(AND(COUNT($E32),N(BG$2)=N($E32)),$E32,IF(AND(COUNT($E32),N(BG$2)&gt;=N($G$2),N(BG$2)&lt;N($E32))," ",""))</f>
        <v/>
      </c>
      <c r="BH32" s="23">
        <f>IF(AND(COUNT($E32),N(BH$2)=N($E32)),$E32,IF(AND(COUNT($E32),N(BH$2)&gt;=N($G$2),N(BH$2)&lt;N($E32))," ",""))</f>
        <v/>
      </c>
      <c r="BI32" s="23">
        <f>IF(AND(COUNT($E32),N(BI$2)=N($E32)),$E32,IF(AND(COUNT($E32),N(BI$2)&gt;=N($G$2),N(BI$2)&lt;N($E32))," ",""))</f>
        <v/>
      </c>
      <c r="BJ32" s="23">
        <f>IF(AND(COUNT($E32),N(BJ$2)=N($E32)),$E32,IF(AND(COUNT($E32),N(BJ$2)&gt;=N($G$2),N(BJ$2)&lt;N($E32))," ",""))</f>
        <v/>
      </c>
      <c r="BK32" s="23">
        <f>IF(AND(COUNT($E32),N(BK$2)=N($E32)),$E32,IF(AND(COUNT($E32),N(BK$2)&gt;=N($G$2),N(BK$2)&lt;N($E32))," ",""))</f>
        <v/>
      </c>
      <c r="BL32" s="23">
        <f>IF(AND(COUNT($E32),N(BL$2)=N($E32)),$E32,IF(AND(COUNT($E32),N(BL$2)&gt;=N($G$2),N(BL$2)&lt;N($E32))," ",""))</f>
        <v/>
      </c>
      <c r="BM32" s="23">
        <f>IF(AND(COUNT($E32),N(BM$2)=N($E32)),$E32,IF(AND(COUNT($E32),N(BM$2)&gt;=N($G$2),N(BM$2)&lt;N($E32))," ",""))</f>
        <v/>
      </c>
      <c r="BN32" s="23">
        <f>IF(AND(COUNT($E32),N(BN$2)=N($E32)),$E32,IF(AND(COUNT($E32),N(BN$2)&gt;=N($G$2),N(BN$2)&lt;N($E32))," ",""))</f>
        <v/>
      </c>
      <c r="BO32" s="23">
        <f>IF(AND(COUNT($E32),N(BO$2)=N($E32)),$E32,IF(AND(COUNT($E32),N(BO$2)&gt;=N($G$2),N(BO$2)&lt;N($E32))," ",""))</f>
        <v/>
      </c>
      <c r="BP32" s="23">
        <f>IF(AND(COUNT($E32),N(BP$2)=N($E32)),$E32,IF(AND(COUNT($E32),N(BP$2)&gt;=N($G$2),N(BP$2)&lt;N($E32))," ",""))</f>
        <v/>
      </c>
      <c r="BQ32" s="23">
        <f>IF(AND(COUNT($E32),N(BQ$2)=N($E32)),$E32,IF(AND(COUNT($E32),N(BQ$2)&gt;=N($G$2),N(BQ$2)&lt;N($E32))," ",""))</f>
        <v/>
      </c>
      <c r="BR32" s="23">
        <f>IF(AND(COUNT($E32),N(BR$2)=N($E32)),$E32,IF(AND(COUNT($E32),N(BR$2)&gt;=N($G$2),N(BR$2)&lt;N($E32))," ",""))</f>
        <v/>
      </c>
      <c r="BS32" s="23">
        <f>IF(AND(COUNT($E32),N(BS$2)=N($E32)),$E32,IF(AND(COUNT($E32),N(BS$2)&gt;=N($G$2),N(BS$2)&lt;N($E32))," ",""))</f>
        <v/>
      </c>
    </row>
    <row r="33" ht="20" customHeight="1">
      <c r="A33" s="21" t="inlineStr">
        <is>
          <t>预估</t>
        </is>
      </c>
      <c r="B33" s="21" t="inlineStr">
        <is>
          <t>第一期</t>
        </is>
      </c>
      <c r="C33" s="22" t="inlineStr">
        <is>
          <t>PAB090·单级样机</t>
        </is>
      </c>
      <c r="D33" s="23">
        <f>'时间节点计划表'!E17</f>
        <v/>
      </c>
      <c r="E33" s="23">
        <f>IF(COUNT('时间节点计划表'!F17),'时间节点计划表'!F17,"")</f>
        <v/>
      </c>
      <c r="F33" s="24" t="inlineStr"/>
      <c r="G33" s="25">
        <f>D33</f>
        <v/>
      </c>
      <c r="H33" s="26" t="n"/>
      <c r="I33" s="26" t="n"/>
      <c r="J33" s="26" t="n"/>
      <c r="K33" s="26" t="n"/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  <c r="X33" s="26" t="n"/>
      <c r="Y33" s="26" t="n"/>
      <c r="Z33" s="26" t="n"/>
      <c r="AA33" s="26" t="n"/>
      <c r="AB33" s="26" t="n"/>
      <c r="AC33" s="26" t="n"/>
      <c r="AD33" s="26" t="n"/>
      <c r="AE33" s="26" t="n"/>
      <c r="AF33" s="26" t="n"/>
      <c r="AG33" s="26" t="n"/>
      <c r="AH33" s="26" t="n"/>
      <c r="AI33" s="26" t="n"/>
      <c r="AJ33" s="26" t="n"/>
      <c r="AK33" s="26" t="n"/>
      <c r="AL33" s="26" t="n"/>
      <c r="AM33" s="26" t="n"/>
      <c r="AN33" s="26" t="n"/>
      <c r="AO33" s="26" t="n"/>
      <c r="AP33" s="26" t="n"/>
      <c r="AQ33" s="26" t="n"/>
      <c r="AR33" s="26" t="n"/>
      <c r="AS33" s="26" t="n"/>
      <c r="AT33" s="26" t="n"/>
      <c r="AU33" s="27" t="n"/>
      <c r="AV33" s="28" t="n"/>
      <c r="AW33" s="28" t="n"/>
      <c r="AX33" s="28" t="n"/>
      <c r="AY33" s="28" t="n"/>
      <c r="AZ33" s="28" t="n"/>
      <c r="BA33" s="28" t="n"/>
      <c r="BB33" s="28" t="n"/>
      <c r="BC33" s="28" t="n"/>
      <c r="BD33" s="28" t="n"/>
      <c r="BE33" s="28" t="n"/>
      <c r="BF33" s="28" t="n"/>
      <c r="BG33" s="28" t="n"/>
      <c r="BH33" s="28" t="n"/>
      <c r="BI33" s="28" t="n"/>
      <c r="BJ33" s="28" t="n"/>
      <c r="BK33" s="28" t="n"/>
      <c r="BL33" s="28" t="n"/>
      <c r="BM33" s="28" t="n"/>
      <c r="BN33" s="28" t="n"/>
      <c r="BO33" s="28" t="n"/>
      <c r="BP33" s="28" t="n"/>
      <c r="BQ33" s="28" t="n"/>
      <c r="BR33" s="28" t="n"/>
      <c r="BS33" s="28" t="n"/>
    </row>
    <row r="34" ht="20" customHeight="1">
      <c r="A34" s="29" t="inlineStr">
        <is>
          <t>实际</t>
        </is>
      </c>
      <c r="B34" s="29" t="inlineStr">
        <is>
          <t>第一期</t>
        </is>
      </c>
      <c r="C34" s="30" t="inlineStr">
        <is>
          <t>PAB090·单级样机</t>
        </is>
      </c>
      <c r="D34" s="31">
        <f>'时间节点计划表'!E17</f>
        <v/>
      </c>
      <c r="E34" s="31">
        <f>IF(COUNT('时间节点计划表'!F17),'时间节点计划表'!F17,"")</f>
        <v/>
      </c>
      <c r="F34" s="32">
        <f>IF(OR(D34="",E34=""),"待填",E34-D34)</f>
        <v/>
      </c>
      <c r="G34" s="23">
        <f>IF(AND(COUNT($E34),N(G$2)=N($E34)),$E34,IF(AND(COUNT($E34),N(G$2)&gt;=N($G$2),N(G$2)&lt;N($E34))," ",""))</f>
        <v/>
      </c>
      <c r="H34" s="23">
        <f>IF(AND(COUNT($E34),N(H$2)=N($E34)),$E34,IF(AND(COUNT($E34),N(H$2)&gt;=N($G$2),N(H$2)&lt;N($E34))," ",""))</f>
        <v/>
      </c>
      <c r="I34" s="23">
        <f>IF(AND(COUNT($E34),N(I$2)=N($E34)),$E34,IF(AND(COUNT($E34),N(I$2)&gt;=N($G$2),N(I$2)&lt;N($E34))," ",""))</f>
        <v/>
      </c>
      <c r="J34" s="23">
        <f>IF(AND(COUNT($E34),N(J$2)=N($E34)),$E34,IF(AND(COUNT($E34),N(J$2)&gt;=N($G$2),N(J$2)&lt;N($E34))," ",""))</f>
        <v/>
      </c>
      <c r="K34" s="23">
        <f>IF(AND(COUNT($E34),N(K$2)=N($E34)),$E34,IF(AND(COUNT($E34),N(K$2)&gt;=N($G$2),N(K$2)&lt;N($E34))," ",""))</f>
        <v/>
      </c>
      <c r="L34" s="23">
        <f>IF(AND(COUNT($E34),N(L$2)=N($E34)),$E34,IF(AND(COUNT($E34),N(L$2)&gt;=N($G$2),N(L$2)&lt;N($E34))," ",""))</f>
        <v/>
      </c>
      <c r="M34" s="23">
        <f>IF(AND(COUNT($E34),N(M$2)=N($E34)),$E34,IF(AND(COUNT($E34),N(M$2)&gt;=N($G$2),N(M$2)&lt;N($E34))," ",""))</f>
        <v/>
      </c>
      <c r="N34" s="23">
        <f>IF(AND(COUNT($E34),N(N$2)=N($E34)),$E34,IF(AND(COUNT($E34),N(N$2)&gt;=N($G$2),N(N$2)&lt;N($E34))," ",""))</f>
        <v/>
      </c>
      <c r="O34" s="23">
        <f>IF(AND(COUNT($E34),N(O$2)=N($E34)),$E34,IF(AND(COUNT($E34),N(O$2)&gt;=N($G$2),N(O$2)&lt;N($E34))," ",""))</f>
        <v/>
      </c>
      <c r="P34" s="23">
        <f>IF(AND(COUNT($E34),N(P$2)=N($E34)),$E34,IF(AND(COUNT($E34),N(P$2)&gt;=N($G$2),N(P$2)&lt;N($E34))," ",""))</f>
        <v/>
      </c>
      <c r="Q34" s="23">
        <f>IF(AND(COUNT($E34),N(Q$2)=N($E34)),$E34,IF(AND(COUNT($E34),N(Q$2)&gt;=N($G$2),N(Q$2)&lt;N($E34))," ",""))</f>
        <v/>
      </c>
      <c r="R34" s="23">
        <f>IF(AND(COUNT($E34),N(R$2)=N($E34)),$E34,IF(AND(COUNT($E34),N(R$2)&gt;=N($G$2),N(R$2)&lt;N($E34))," ",""))</f>
        <v/>
      </c>
      <c r="S34" s="23">
        <f>IF(AND(COUNT($E34),N(S$2)=N($E34)),$E34,IF(AND(COUNT($E34),N(S$2)&gt;=N($G$2),N(S$2)&lt;N($E34))," ",""))</f>
        <v/>
      </c>
      <c r="T34" s="23">
        <f>IF(AND(COUNT($E34),N(T$2)=N($E34)),$E34,IF(AND(COUNT($E34),N(T$2)&gt;=N($G$2),N(T$2)&lt;N($E34))," ",""))</f>
        <v/>
      </c>
      <c r="U34" s="23">
        <f>IF(AND(COUNT($E34),N(U$2)=N($E34)),$E34,IF(AND(COUNT($E34),N(U$2)&gt;=N($G$2),N(U$2)&lt;N($E34))," ",""))</f>
        <v/>
      </c>
      <c r="V34" s="23">
        <f>IF(AND(COUNT($E34),N(V$2)=N($E34)),$E34,IF(AND(COUNT($E34),N(V$2)&gt;=N($G$2),N(V$2)&lt;N($E34))," ",""))</f>
        <v/>
      </c>
      <c r="W34" s="23">
        <f>IF(AND(COUNT($E34),N(W$2)=N($E34)),$E34,IF(AND(COUNT($E34),N(W$2)&gt;=N($G$2),N(W$2)&lt;N($E34))," ",""))</f>
        <v/>
      </c>
      <c r="X34" s="23">
        <f>IF(AND(COUNT($E34),N(X$2)=N($E34)),$E34,IF(AND(COUNT($E34),N(X$2)&gt;=N($G$2),N(X$2)&lt;N($E34))," ",""))</f>
        <v/>
      </c>
      <c r="Y34" s="23">
        <f>IF(AND(COUNT($E34),N(Y$2)=N($E34)),$E34,IF(AND(COUNT($E34),N(Y$2)&gt;=N($G$2),N(Y$2)&lt;N($E34))," ",""))</f>
        <v/>
      </c>
      <c r="Z34" s="23">
        <f>IF(AND(COUNT($E34),N(Z$2)=N($E34)),$E34,IF(AND(COUNT($E34),N(Z$2)&gt;=N($G$2),N(Z$2)&lt;N($E34))," ",""))</f>
        <v/>
      </c>
      <c r="AA34" s="23">
        <f>IF(AND(COUNT($E34),N(AA$2)=N($E34)),$E34,IF(AND(COUNT($E34),N(AA$2)&gt;=N($G$2),N(AA$2)&lt;N($E34))," ",""))</f>
        <v/>
      </c>
      <c r="AB34" s="23">
        <f>IF(AND(COUNT($E34),N(AB$2)=N($E34)),$E34,IF(AND(COUNT($E34),N(AB$2)&gt;=N($G$2),N(AB$2)&lt;N($E34))," ",""))</f>
        <v/>
      </c>
      <c r="AC34" s="23">
        <f>IF(AND(COUNT($E34),N(AC$2)=N($E34)),$E34,IF(AND(COUNT($E34),N(AC$2)&gt;=N($G$2),N(AC$2)&lt;N($E34))," ",""))</f>
        <v/>
      </c>
      <c r="AD34" s="23">
        <f>IF(AND(COUNT($E34),N(AD$2)=N($E34)),$E34,IF(AND(COUNT($E34),N(AD$2)&gt;=N($G$2),N(AD$2)&lt;N($E34))," ",""))</f>
        <v/>
      </c>
      <c r="AE34" s="23">
        <f>IF(AND(COUNT($E34),N(AE$2)=N($E34)),$E34,IF(AND(COUNT($E34),N(AE$2)&gt;=N($G$2),N(AE$2)&lt;N($E34))," ",""))</f>
        <v/>
      </c>
      <c r="AF34" s="23">
        <f>IF(AND(COUNT($E34),N(AF$2)=N($E34)),$E34,IF(AND(COUNT($E34),N(AF$2)&gt;=N($G$2),N(AF$2)&lt;N($E34))," ",""))</f>
        <v/>
      </c>
      <c r="AG34" s="23">
        <f>IF(AND(COUNT($E34),N(AG$2)=N($E34)),$E34,IF(AND(COUNT($E34),N(AG$2)&gt;=N($G$2),N(AG$2)&lt;N($E34))," ",""))</f>
        <v/>
      </c>
      <c r="AH34" s="23">
        <f>IF(AND(COUNT($E34),N(AH$2)=N($E34)),$E34,IF(AND(COUNT($E34),N(AH$2)&gt;=N($G$2),N(AH$2)&lt;N($E34))," ",""))</f>
        <v/>
      </c>
      <c r="AI34" s="23">
        <f>IF(AND(COUNT($E34),N(AI$2)=N($E34)),$E34,IF(AND(COUNT($E34),N(AI$2)&gt;=N($G$2),N(AI$2)&lt;N($E34))," ",""))</f>
        <v/>
      </c>
      <c r="AJ34" s="23">
        <f>IF(AND(COUNT($E34),N(AJ$2)=N($E34)),$E34,IF(AND(COUNT($E34),N(AJ$2)&gt;=N($G$2),N(AJ$2)&lt;N($E34))," ",""))</f>
        <v/>
      </c>
      <c r="AK34" s="23">
        <f>IF(AND(COUNT($E34),N(AK$2)=N($E34)),$E34,IF(AND(COUNT($E34),N(AK$2)&gt;=N($G$2),N(AK$2)&lt;N($E34))," ",""))</f>
        <v/>
      </c>
      <c r="AL34" s="23">
        <f>IF(AND(COUNT($E34),N(AL$2)=N($E34)),$E34,IF(AND(COUNT($E34),N(AL$2)&gt;=N($G$2),N(AL$2)&lt;N($E34))," ",""))</f>
        <v/>
      </c>
      <c r="AM34" s="23">
        <f>IF(AND(COUNT($E34),N(AM$2)=N($E34)),$E34,IF(AND(COUNT($E34),N(AM$2)&gt;=N($G$2),N(AM$2)&lt;N($E34))," ",""))</f>
        <v/>
      </c>
      <c r="AN34" s="23">
        <f>IF(AND(COUNT($E34),N(AN$2)=N($E34)),$E34,IF(AND(COUNT($E34),N(AN$2)&gt;=N($G$2),N(AN$2)&lt;N($E34))," ",""))</f>
        <v/>
      </c>
      <c r="AO34" s="23">
        <f>IF(AND(COUNT($E34),N(AO$2)=N($E34)),$E34,IF(AND(COUNT($E34),N(AO$2)&gt;=N($G$2),N(AO$2)&lt;N($E34))," ",""))</f>
        <v/>
      </c>
      <c r="AP34" s="23">
        <f>IF(AND(COUNT($E34),N(AP$2)=N($E34)),$E34,IF(AND(COUNT($E34),N(AP$2)&gt;=N($G$2),N(AP$2)&lt;N($E34))," ",""))</f>
        <v/>
      </c>
      <c r="AQ34" s="23">
        <f>IF(AND(COUNT($E34),N(AQ$2)=N($E34)),$E34,IF(AND(COUNT($E34),N(AQ$2)&gt;=N($G$2),N(AQ$2)&lt;N($E34))," ",""))</f>
        <v/>
      </c>
      <c r="AR34" s="23">
        <f>IF(AND(COUNT($E34),N(AR$2)=N($E34)),$E34,IF(AND(COUNT($E34),N(AR$2)&gt;=N($G$2),N(AR$2)&lt;N($E34))," ",""))</f>
        <v/>
      </c>
      <c r="AS34" s="23">
        <f>IF(AND(COUNT($E34),N(AS$2)=N($E34)),$E34,IF(AND(COUNT($E34),N(AS$2)&gt;=N($G$2),N(AS$2)&lt;N($E34))," ",""))</f>
        <v/>
      </c>
      <c r="AT34" s="23">
        <f>IF(AND(COUNT($E34),N(AT$2)=N($E34)),$E34,IF(AND(COUNT($E34),N(AT$2)&gt;=N($G$2),N(AT$2)&lt;N($E34))," ",""))</f>
        <v/>
      </c>
      <c r="AU34" s="23">
        <f>IF(AND(COUNT($E34),N(AU$2)=N($E34)),$E34,IF(AND(COUNT($E34),N(AU$2)&gt;=N($G$2),N(AU$2)&lt;N($E34))," ",""))</f>
        <v/>
      </c>
      <c r="AV34" s="23">
        <f>IF(AND(COUNT($E34),N(AV$2)=N($E34)),$E34,IF(AND(COUNT($E34),N(AV$2)&gt;=N($G$2),N(AV$2)&lt;N($E34))," ",""))</f>
        <v/>
      </c>
      <c r="AW34" s="23">
        <f>IF(AND(COUNT($E34),N(AW$2)=N($E34)),$E34,IF(AND(COUNT($E34),N(AW$2)&gt;=N($G$2),N(AW$2)&lt;N($E34))," ",""))</f>
        <v/>
      </c>
      <c r="AX34" s="23">
        <f>IF(AND(COUNT($E34),N(AX$2)=N($E34)),$E34,IF(AND(COUNT($E34),N(AX$2)&gt;=N($G$2),N(AX$2)&lt;N($E34))," ",""))</f>
        <v/>
      </c>
      <c r="AY34" s="23">
        <f>IF(AND(COUNT($E34),N(AY$2)=N($E34)),$E34,IF(AND(COUNT($E34),N(AY$2)&gt;=N($G$2),N(AY$2)&lt;N($E34))," ",""))</f>
        <v/>
      </c>
      <c r="AZ34" s="23">
        <f>IF(AND(COUNT($E34),N(AZ$2)=N($E34)),$E34,IF(AND(COUNT($E34),N(AZ$2)&gt;=N($G$2),N(AZ$2)&lt;N($E34))," ",""))</f>
        <v/>
      </c>
      <c r="BA34" s="23">
        <f>IF(AND(COUNT($E34),N(BA$2)=N($E34)),$E34,IF(AND(COUNT($E34),N(BA$2)&gt;=N($G$2),N(BA$2)&lt;N($E34))," ",""))</f>
        <v/>
      </c>
      <c r="BB34" s="23">
        <f>IF(AND(COUNT($E34),N(BB$2)=N($E34)),$E34,IF(AND(COUNT($E34),N(BB$2)&gt;=N($G$2),N(BB$2)&lt;N($E34))," ",""))</f>
        <v/>
      </c>
      <c r="BC34" s="23">
        <f>IF(AND(COUNT($E34),N(BC$2)=N($E34)),$E34,IF(AND(COUNT($E34),N(BC$2)&gt;=N($G$2),N(BC$2)&lt;N($E34))," ",""))</f>
        <v/>
      </c>
      <c r="BD34" s="23">
        <f>IF(AND(COUNT($E34),N(BD$2)=N($E34)),$E34,IF(AND(COUNT($E34),N(BD$2)&gt;=N($G$2),N(BD$2)&lt;N($E34))," ",""))</f>
        <v/>
      </c>
      <c r="BE34" s="23">
        <f>IF(AND(COUNT($E34),N(BE$2)=N($E34)),$E34,IF(AND(COUNT($E34),N(BE$2)&gt;=N($G$2),N(BE$2)&lt;N($E34))," ",""))</f>
        <v/>
      </c>
      <c r="BF34" s="23">
        <f>IF(AND(COUNT($E34),N(BF$2)=N($E34)),$E34,IF(AND(COUNT($E34),N(BF$2)&gt;=N($G$2),N(BF$2)&lt;N($E34))," ",""))</f>
        <v/>
      </c>
      <c r="BG34" s="23">
        <f>IF(AND(COUNT($E34),N(BG$2)=N($E34)),$E34,IF(AND(COUNT($E34),N(BG$2)&gt;=N($G$2),N(BG$2)&lt;N($E34))," ",""))</f>
        <v/>
      </c>
      <c r="BH34" s="23">
        <f>IF(AND(COUNT($E34),N(BH$2)=N($E34)),$E34,IF(AND(COUNT($E34),N(BH$2)&gt;=N($G$2),N(BH$2)&lt;N($E34))," ",""))</f>
        <v/>
      </c>
      <c r="BI34" s="23">
        <f>IF(AND(COUNT($E34),N(BI$2)=N($E34)),$E34,IF(AND(COUNT($E34),N(BI$2)&gt;=N($G$2),N(BI$2)&lt;N($E34))," ",""))</f>
        <v/>
      </c>
      <c r="BJ34" s="23">
        <f>IF(AND(COUNT($E34),N(BJ$2)=N($E34)),$E34,IF(AND(COUNT($E34),N(BJ$2)&gt;=N($G$2),N(BJ$2)&lt;N($E34))," ",""))</f>
        <v/>
      </c>
      <c r="BK34" s="23">
        <f>IF(AND(COUNT($E34),N(BK$2)=N($E34)),$E34,IF(AND(COUNT($E34),N(BK$2)&gt;=N($G$2),N(BK$2)&lt;N($E34))," ",""))</f>
        <v/>
      </c>
      <c r="BL34" s="23">
        <f>IF(AND(COUNT($E34),N(BL$2)=N($E34)),$E34,IF(AND(COUNT($E34),N(BL$2)&gt;=N($G$2),N(BL$2)&lt;N($E34))," ",""))</f>
        <v/>
      </c>
      <c r="BM34" s="23">
        <f>IF(AND(COUNT($E34),N(BM$2)=N($E34)),$E34,IF(AND(COUNT($E34),N(BM$2)&gt;=N($G$2),N(BM$2)&lt;N($E34))," ",""))</f>
        <v/>
      </c>
      <c r="BN34" s="23">
        <f>IF(AND(COUNT($E34),N(BN$2)=N($E34)),$E34,IF(AND(COUNT($E34),N(BN$2)&gt;=N($G$2),N(BN$2)&lt;N($E34))," ",""))</f>
        <v/>
      </c>
      <c r="BO34" s="23">
        <f>IF(AND(COUNT($E34),N(BO$2)=N($E34)),$E34,IF(AND(COUNT($E34),N(BO$2)&gt;=N($G$2),N(BO$2)&lt;N($E34))," ",""))</f>
        <v/>
      </c>
      <c r="BP34" s="23">
        <f>IF(AND(COUNT($E34),N(BP$2)=N($E34)),$E34,IF(AND(COUNT($E34),N(BP$2)&gt;=N($G$2),N(BP$2)&lt;N($E34))," ",""))</f>
        <v/>
      </c>
      <c r="BQ34" s="23">
        <f>IF(AND(COUNT($E34),N(BQ$2)=N($E34)),$E34,IF(AND(COUNT($E34),N(BQ$2)&gt;=N($G$2),N(BQ$2)&lt;N($E34))," ",""))</f>
        <v/>
      </c>
      <c r="BR34" s="23">
        <f>IF(AND(COUNT($E34),N(BR$2)=N($E34)),$E34,IF(AND(COUNT($E34),N(BR$2)&gt;=N($G$2),N(BR$2)&lt;N($E34))," ",""))</f>
        <v/>
      </c>
      <c r="BS34" s="23">
        <f>IF(AND(COUNT($E34),N(BS$2)=N($E34)),$E34,IF(AND(COUNT($E34),N(BS$2)&gt;=N($G$2),N(BS$2)&lt;N($E34))," ",""))</f>
        <v/>
      </c>
    </row>
    <row r="35" ht="20" customHeight="1">
      <c r="A35" s="21" t="inlineStr">
        <is>
          <t>预估</t>
        </is>
      </c>
      <c r="B35" s="21" t="inlineStr">
        <is>
          <t>第一期</t>
        </is>
      </c>
      <c r="C35" s="22" t="inlineStr">
        <is>
          <t>PAB090·双级样机</t>
        </is>
      </c>
      <c r="D35" s="23">
        <f>'时间节点计划表'!E18</f>
        <v/>
      </c>
      <c r="E35" s="23">
        <f>IF(COUNT('时间节点计划表'!F18),'时间节点计划表'!F18,"")</f>
        <v/>
      </c>
      <c r="F35" s="24" t="inlineStr"/>
      <c r="G35" s="25">
        <f>D35</f>
        <v/>
      </c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6" t="n"/>
      <c r="AL35" s="26" t="n"/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7" t="n"/>
      <c r="AW35" s="28" t="n"/>
      <c r="AX35" s="28" t="n"/>
      <c r="AY35" s="28" t="n"/>
      <c r="AZ35" s="28" t="n"/>
      <c r="BA35" s="28" t="n"/>
      <c r="BB35" s="28" t="n"/>
      <c r="BC35" s="28" t="n"/>
      <c r="BD35" s="28" t="n"/>
      <c r="BE35" s="28" t="n"/>
      <c r="BF35" s="28" t="n"/>
      <c r="BG35" s="28" t="n"/>
      <c r="BH35" s="28" t="n"/>
      <c r="BI35" s="28" t="n"/>
      <c r="BJ35" s="28" t="n"/>
      <c r="BK35" s="28" t="n"/>
      <c r="BL35" s="28" t="n"/>
      <c r="BM35" s="28" t="n"/>
      <c r="BN35" s="28" t="n"/>
      <c r="BO35" s="28" t="n"/>
      <c r="BP35" s="28" t="n"/>
      <c r="BQ35" s="28" t="n"/>
      <c r="BR35" s="28" t="n"/>
      <c r="BS35" s="28" t="n"/>
    </row>
    <row r="36" ht="20" customHeight="1">
      <c r="A36" s="29" t="inlineStr">
        <is>
          <t>实际</t>
        </is>
      </c>
      <c r="B36" s="29" t="inlineStr">
        <is>
          <t>第一期</t>
        </is>
      </c>
      <c r="C36" s="30" t="inlineStr">
        <is>
          <t>PAB090·双级样机</t>
        </is>
      </c>
      <c r="D36" s="31">
        <f>'时间节点计划表'!E18</f>
        <v/>
      </c>
      <c r="E36" s="31">
        <f>IF(COUNT('时间节点计划表'!F18),'时间节点计划表'!F18,"")</f>
        <v/>
      </c>
      <c r="F36" s="32">
        <f>IF(OR(D36="",E36=""),"待填",E36-D36)</f>
        <v/>
      </c>
      <c r="G36" s="23">
        <f>IF(AND(COUNT($E36),N(G$2)=N($E36)),$E36,IF(AND(COUNT($E36),N(G$2)&gt;=N($G$2),N(G$2)&lt;N($E36))," ",""))</f>
        <v/>
      </c>
      <c r="H36" s="23">
        <f>IF(AND(COUNT($E36),N(H$2)=N($E36)),$E36,IF(AND(COUNT($E36),N(H$2)&gt;=N($G$2),N(H$2)&lt;N($E36))," ",""))</f>
        <v/>
      </c>
      <c r="I36" s="23">
        <f>IF(AND(COUNT($E36),N(I$2)=N($E36)),$E36,IF(AND(COUNT($E36),N(I$2)&gt;=N($G$2),N(I$2)&lt;N($E36))," ",""))</f>
        <v/>
      </c>
      <c r="J36" s="23">
        <f>IF(AND(COUNT($E36),N(J$2)=N($E36)),$E36,IF(AND(COUNT($E36),N(J$2)&gt;=N($G$2),N(J$2)&lt;N($E36))," ",""))</f>
        <v/>
      </c>
      <c r="K36" s="23">
        <f>IF(AND(COUNT($E36),N(K$2)=N($E36)),$E36,IF(AND(COUNT($E36),N(K$2)&gt;=N($G$2),N(K$2)&lt;N($E36))," ",""))</f>
        <v/>
      </c>
      <c r="L36" s="23">
        <f>IF(AND(COUNT($E36),N(L$2)=N($E36)),$E36,IF(AND(COUNT($E36),N(L$2)&gt;=N($G$2),N(L$2)&lt;N($E36))," ",""))</f>
        <v/>
      </c>
      <c r="M36" s="23">
        <f>IF(AND(COUNT($E36),N(M$2)=N($E36)),$E36,IF(AND(COUNT($E36),N(M$2)&gt;=N($G$2),N(M$2)&lt;N($E36))," ",""))</f>
        <v/>
      </c>
      <c r="N36" s="23">
        <f>IF(AND(COUNT($E36),N(N$2)=N($E36)),$E36,IF(AND(COUNT($E36),N(N$2)&gt;=N($G$2),N(N$2)&lt;N($E36))," ",""))</f>
        <v/>
      </c>
      <c r="O36" s="23">
        <f>IF(AND(COUNT($E36),N(O$2)=N($E36)),$E36,IF(AND(COUNT($E36),N(O$2)&gt;=N($G$2),N(O$2)&lt;N($E36))," ",""))</f>
        <v/>
      </c>
      <c r="P36" s="23">
        <f>IF(AND(COUNT($E36),N(P$2)=N($E36)),$E36,IF(AND(COUNT($E36),N(P$2)&gt;=N($G$2),N(P$2)&lt;N($E36))," ",""))</f>
        <v/>
      </c>
      <c r="Q36" s="23">
        <f>IF(AND(COUNT($E36),N(Q$2)=N($E36)),$E36,IF(AND(COUNT($E36),N(Q$2)&gt;=N($G$2),N(Q$2)&lt;N($E36))," ",""))</f>
        <v/>
      </c>
      <c r="R36" s="23">
        <f>IF(AND(COUNT($E36),N(R$2)=N($E36)),$E36,IF(AND(COUNT($E36),N(R$2)&gt;=N($G$2),N(R$2)&lt;N($E36))," ",""))</f>
        <v/>
      </c>
      <c r="S36" s="23">
        <f>IF(AND(COUNT($E36),N(S$2)=N($E36)),$E36,IF(AND(COUNT($E36),N(S$2)&gt;=N($G$2),N(S$2)&lt;N($E36))," ",""))</f>
        <v/>
      </c>
      <c r="T36" s="23">
        <f>IF(AND(COUNT($E36),N(T$2)=N($E36)),$E36,IF(AND(COUNT($E36),N(T$2)&gt;=N($G$2),N(T$2)&lt;N($E36))," ",""))</f>
        <v/>
      </c>
      <c r="U36" s="23">
        <f>IF(AND(COUNT($E36),N(U$2)=N($E36)),$E36,IF(AND(COUNT($E36),N(U$2)&gt;=N($G$2),N(U$2)&lt;N($E36))," ",""))</f>
        <v/>
      </c>
      <c r="V36" s="23">
        <f>IF(AND(COUNT($E36),N(V$2)=N($E36)),$E36,IF(AND(COUNT($E36),N(V$2)&gt;=N($G$2),N(V$2)&lt;N($E36))," ",""))</f>
        <v/>
      </c>
      <c r="W36" s="23">
        <f>IF(AND(COUNT($E36),N(W$2)=N($E36)),$E36,IF(AND(COUNT($E36),N(W$2)&gt;=N($G$2),N(W$2)&lt;N($E36))," ",""))</f>
        <v/>
      </c>
      <c r="X36" s="23">
        <f>IF(AND(COUNT($E36),N(X$2)=N($E36)),$E36,IF(AND(COUNT($E36),N(X$2)&gt;=N($G$2),N(X$2)&lt;N($E36))," ",""))</f>
        <v/>
      </c>
      <c r="Y36" s="23">
        <f>IF(AND(COUNT($E36),N(Y$2)=N($E36)),$E36,IF(AND(COUNT($E36),N(Y$2)&gt;=N($G$2),N(Y$2)&lt;N($E36))," ",""))</f>
        <v/>
      </c>
      <c r="Z36" s="23">
        <f>IF(AND(COUNT($E36),N(Z$2)=N($E36)),$E36,IF(AND(COUNT($E36),N(Z$2)&gt;=N($G$2),N(Z$2)&lt;N($E36))," ",""))</f>
        <v/>
      </c>
      <c r="AA36" s="23">
        <f>IF(AND(COUNT($E36),N(AA$2)=N($E36)),$E36,IF(AND(COUNT($E36),N(AA$2)&gt;=N($G$2),N(AA$2)&lt;N($E36))," ",""))</f>
        <v/>
      </c>
      <c r="AB36" s="23">
        <f>IF(AND(COUNT($E36),N(AB$2)=N($E36)),$E36,IF(AND(COUNT($E36),N(AB$2)&gt;=N($G$2),N(AB$2)&lt;N($E36))," ",""))</f>
        <v/>
      </c>
      <c r="AC36" s="23">
        <f>IF(AND(COUNT($E36),N(AC$2)=N($E36)),$E36,IF(AND(COUNT($E36),N(AC$2)&gt;=N($G$2),N(AC$2)&lt;N($E36))," ",""))</f>
        <v/>
      </c>
      <c r="AD36" s="23">
        <f>IF(AND(COUNT($E36),N(AD$2)=N($E36)),$E36,IF(AND(COUNT($E36),N(AD$2)&gt;=N($G$2),N(AD$2)&lt;N($E36))," ",""))</f>
        <v/>
      </c>
      <c r="AE36" s="23">
        <f>IF(AND(COUNT($E36),N(AE$2)=N($E36)),$E36,IF(AND(COUNT($E36),N(AE$2)&gt;=N($G$2),N(AE$2)&lt;N($E36))," ",""))</f>
        <v/>
      </c>
      <c r="AF36" s="23">
        <f>IF(AND(COUNT($E36),N(AF$2)=N($E36)),$E36,IF(AND(COUNT($E36),N(AF$2)&gt;=N($G$2),N(AF$2)&lt;N($E36))," ",""))</f>
        <v/>
      </c>
      <c r="AG36" s="23">
        <f>IF(AND(COUNT($E36),N(AG$2)=N($E36)),$E36,IF(AND(COUNT($E36),N(AG$2)&gt;=N($G$2),N(AG$2)&lt;N($E36))," ",""))</f>
        <v/>
      </c>
      <c r="AH36" s="23">
        <f>IF(AND(COUNT($E36),N(AH$2)=N($E36)),$E36,IF(AND(COUNT($E36),N(AH$2)&gt;=N($G$2),N(AH$2)&lt;N($E36))," ",""))</f>
        <v/>
      </c>
      <c r="AI36" s="23">
        <f>IF(AND(COUNT($E36),N(AI$2)=N($E36)),$E36,IF(AND(COUNT($E36),N(AI$2)&gt;=N($G$2),N(AI$2)&lt;N($E36))," ",""))</f>
        <v/>
      </c>
      <c r="AJ36" s="23">
        <f>IF(AND(COUNT($E36),N(AJ$2)=N($E36)),$E36,IF(AND(COUNT($E36),N(AJ$2)&gt;=N($G$2),N(AJ$2)&lt;N($E36))," ",""))</f>
        <v/>
      </c>
      <c r="AK36" s="23">
        <f>IF(AND(COUNT($E36),N(AK$2)=N($E36)),$E36,IF(AND(COUNT($E36),N(AK$2)&gt;=N($G$2),N(AK$2)&lt;N($E36))," ",""))</f>
        <v/>
      </c>
      <c r="AL36" s="23">
        <f>IF(AND(COUNT($E36),N(AL$2)=N($E36)),$E36,IF(AND(COUNT($E36),N(AL$2)&gt;=N($G$2),N(AL$2)&lt;N($E36))," ",""))</f>
        <v/>
      </c>
      <c r="AM36" s="23">
        <f>IF(AND(COUNT($E36),N(AM$2)=N($E36)),$E36,IF(AND(COUNT($E36),N(AM$2)&gt;=N($G$2),N(AM$2)&lt;N($E36))," ",""))</f>
        <v/>
      </c>
      <c r="AN36" s="23">
        <f>IF(AND(COUNT($E36),N(AN$2)=N($E36)),$E36,IF(AND(COUNT($E36),N(AN$2)&gt;=N($G$2),N(AN$2)&lt;N($E36))," ",""))</f>
        <v/>
      </c>
      <c r="AO36" s="23">
        <f>IF(AND(COUNT($E36),N(AO$2)=N($E36)),$E36,IF(AND(COUNT($E36),N(AO$2)&gt;=N($G$2),N(AO$2)&lt;N($E36))," ",""))</f>
        <v/>
      </c>
      <c r="AP36" s="23">
        <f>IF(AND(COUNT($E36),N(AP$2)=N($E36)),$E36,IF(AND(COUNT($E36),N(AP$2)&gt;=N($G$2),N(AP$2)&lt;N($E36))," ",""))</f>
        <v/>
      </c>
      <c r="AQ36" s="23">
        <f>IF(AND(COUNT($E36),N(AQ$2)=N($E36)),$E36,IF(AND(COUNT($E36),N(AQ$2)&gt;=N($G$2),N(AQ$2)&lt;N($E36))," ",""))</f>
        <v/>
      </c>
      <c r="AR36" s="23">
        <f>IF(AND(COUNT($E36),N(AR$2)=N($E36)),$E36,IF(AND(COUNT($E36),N(AR$2)&gt;=N($G$2),N(AR$2)&lt;N($E36))," ",""))</f>
        <v/>
      </c>
      <c r="AS36" s="23">
        <f>IF(AND(COUNT($E36),N(AS$2)=N($E36)),$E36,IF(AND(COUNT($E36),N(AS$2)&gt;=N($G$2),N(AS$2)&lt;N($E36))," ",""))</f>
        <v/>
      </c>
      <c r="AT36" s="23">
        <f>IF(AND(COUNT($E36),N(AT$2)=N($E36)),$E36,IF(AND(COUNT($E36),N(AT$2)&gt;=N($G$2),N(AT$2)&lt;N($E36))," ",""))</f>
        <v/>
      </c>
      <c r="AU36" s="23">
        <f>IF(AND(COUNT($E36),N(AU$2)=N($E36)),$E36,IF(AND(COUNT($E36),N(AU$2)&gt;=N($G$2),N(AU$2)&lt;N($E36))," ",""))</f>
        <v/>
      </c>
      <c r="AV36" s="23">
        <f>IF(AND(COUNT($E36),N(AV$2)=N($E36)),$E36,IF(AND(COUNT($E36),N(AV$2)&gt;=N($G$2),N(AV$2)&lt;N($E36))," ",""))</f>
        <v/>
      </c>
      <c r="AW36" s="23">
        <f>IF(AND(COUNT($E36),N(AW$2)=N($E36)),$E36,IF(AND(COUNT($E36),N(AW$2)&gt;=N($G$2),N(AW$2)&lt;N($E36))," ",""))</f>
        <v/>
      </c>
      <c r="AX36" s="23">
        <f>IF(AND(COUNT($E36),N(AX$2)=N($E36)),$E36,IF(AND(COUNT($E36),N(AX$2)&gt;=N($G$2),N(AX$2)&lt;N($E36))," ",""))</f>
        <v/>
      </c>
      <c r="AY36" s="23">
        <f>IF(AND(COUNT($E36),N(AY$2)=N($E36)),$E36,IF(AND(COUNT($E36),N(AY$2)&gt;=N($G$2),N(AY$2)&lt;N($E36))," ",""))</f>
        <v/>
      </c>
      <c r="AZ36" s="23">
        <f>IF(AND(COUNT($E36),N(AZ$2)=N($E36)),$E36,IF(AND(COUNT($E36),N(AZ$2)&gt;=N($G$2),N(AZ$2)&lt;N($E36))," ",""))</f>
        <v/>
      </c>
      <c r="BA36" s="23">
        <f>IF(AND(COUNT($E36),N(BA$2)=N($E36)),$E36,IF(AND(COUNT($E36),N(BA$2)&gt;=N($G$2),N(BA$2)&lt;N($E36))," ",""))</f>
        <v/>
      </c>
      <c r="BB36" s="23">
        <f>IF(AND(COUNT($E36),N(BB$2)=N($E36)),$E36,IF(AND(COUNT($E36),N(BB$2)&gt;=N($G$2),N(BB$2)&lt;N($E36))," ",""))</f>
        <v/>
      </c>
      <c r="BC36" s="23">
        <f>IF(AND(COUNT($E36),N(BC$2)=N($E36)),$E36,IF(AND(COUNT($E36),N(BC$2)&gt;=N($G$2),N(BC$2)&lt;N($E36))," ",""))</f>
        <v/>
      </c>
      <c r="BD36" s="23">
        <f>IF(AND(COUNT($E36),N(BD$2)=N($E36)),$E36,IF(AND(COUNT($E36),N(BD$2)&gt;=N($G$2),N(BD$2)&lt;N($E36))," ",""))</f>
        <v/>
      </c>
      <c r="BE36" s="23">
        <f>IF(AND(COUNT($E36),N(BE$2)=N($E36)),$E36,IF(AND(COUNT($E36),N(BE$2)&gt;=N($G$2),N(BE$2)&lt;N($E36))," ",""))</f>
        <v/>
      </c>
      <c r="BF36" s="23">
        <f>IF(AND(COUNT($E36),N(BF$2)=N($E36)),$E36,IF(AND(COUNT($E36),N(BF$2)&gt;=N($G$2),N(BF$2)&lt;N($E36))," ",""))</f>
        <v/>
      </c>
      <c r="BG36" s="23">
        <f>IF(AND(COUNT($E36),N(BG$2)=N($E36)),$E36,IF(AND(COUNT($E36),N(BG$2)&gt;=N($G$2),N(BG$2)&lt;N($E36))," ",""))</f>
        <v/>
      </c>
      <c r="BH36" s="23">
        <f>IF(AND(COUNT($E36),N(BH$2)=N($E36)),$E36,IF(AND(COUNT($E36),N(BH$2)&gt;=N($G$2),N(BH$2)&lt;N($E36))," ",""))</f>
        <v/>
      </c>
      <c r="BI36" s="23">
        <f>IF(AND(COUNT($E36),N(BI$2)=N($E36)),$E36,IF(AND(COUNT($E36),N(BI$2)&gt;=N($G$2),N(BI$2)&lt;N($E36))," ",""))</f>
        <v/>
      </c>
      <c r="BJ36" s="23">
        <f>IF(AND(COUNT($E36),N(BJ$2)=N($E36)),$E36,IF(AND(COUNT($E36),N(BJ$2)&gt;=N($G$2),N(BJ$2)&lt;N($E36))," ",""))</f>
        <v/>
      </c>
      <c r="BK36" s="23">
        <f>IF(AND(COUNT($E36),N(BK$2)=N($E36)),$E36,IF(AND(COUNT($E36),N(BK$2)&gt;=N($G$2),N(BK$2)&lt;N($E36))," ",""))</f>
        <v/>
      </c>
      <c r="BL36" s="23">
        <f>IF(AND(COUNT($E36),N(BL$2)=N($E36)),$E36,IF(AND(COUNT($E36),N(BL$2)&gt;=N($G$2),N(BL$2)&lt;N($E36))," ",""))</f>
        <v/>
      </c>
      <c r="BM36" s="23">
        <f>IF(AND(COUNT($E36),N(BM$2)=N($E36)),$E36,IF(AND(COUNT($E36),N(BM$2)&gt;=N($G$2),N(BM$2)&lt;N($E36))," ",""))</f>
        <v/>
      </c>
      <c r="BN36" s="23">
        <f>IF(AND(COUNT($E36),N(BN$2)=N($E36)),$E36,IF(AND(COUNT($E36),N(BN$2)&gt;=N($G$2),N(BN$2)&lt;N($E36))," ",""))</f>
        <v/>
      </c>
      <c r="BO36" s="23">
        <f>IF(AND(COUNT($E36),N(BO$2)=N($E36)),$E36,IF(AND(COUNT($E36),N(BO$2)&gt;=N($G$2),N(BO$2)&lt;N($E36))," ",""))</f>
        <v/>
      </c>
      <c r="BP36" s="23">
        <f>IF(AND(COUNT($E36),N(BP$2)=N($E36)),$E36,IF(AND(COUNT($E36),N(BP$2)&gt;=N($G$2),N(BP$2)&lt;N($E36))," ",""))</f>
        <v/>
      </c>
      <c r="BQ36" s="23">
        <f>IF(AND(COUNT($E36),N(BQ$2)=N($E36)),$E36,IF(AND(COUNT($E36),N(BQ$2)&gt;=N($G$2),N(BQ$2)&lt;N($E36))," ",""))</f>
        <v/>
      </c>
      <c r="BR36" s="23">
        <f>IF(AND(COUNT($E36),N(BR$2)=N($E36)),$E36,IF(AND(COUNT($E36),N(BR$2)&gt;=N($G$2),N(BR$2)&lt;N($E36))," ",""))</f>
        <v/>
      </c>
      <c r="BS36" s="23">
        <f>IF(AND(COUNT($E36),N(BS$2)=N($E36)),$E36,IF(AND(COUNT($E36),N(BS$2)&gt;=N($G$2),N(BS$2)&lt;N($E36))," ",""))</f>
        <v/>
      </c>
    </row>
    <row r="37" ht="20" customHeight="1">
      <c r="A37" s="21" t="inlineStr">
        <is>
          <t>预估</t>
        </is>
      </c>
      <c r="B37" s="21" t="inlineStr">
        <is>
          <t>第一期</t>
        </is>
      </c>
      <c r="C37" s="22" t="inlineStr">
        <is>
          <t>PAB115·零件到位</t>
        </is>
      </c>
      <c r="D37" s="23">
        <f>'时间节点计划表'!E19</f>
        <v/>
      </c>
      <c r="E37" s="23">
        <f>IF(COUNT('时间节点计划表'!F19),'时间节点计划表'!F19,"")</f>
        <v/>
      </c>
      <c r="F37" s="24" t="inlineStr"/>
      <c r="G37" s="25">
        <f>D37</f>
        <v/>
      </c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  <c r="X37" s="26" t="n"/>
      <c r="Y37" s="26" t="n"/>
      <c r="Z37" s="26" t="n"/>
      <c r="AA37" s="26" t="n"/>
      <c r="AB37" s="26" t="n"/>
      <c r="AC37" s="26" t="n"/>
      <c r="AD37" s="26" t="n"/>
      <c r="AE37" s="26" t="n"/>
      <c r="AF37" s="26" t="n"/>
      <c r="AG37" s="26" t="n"/>
      <c r="AH37" s="26" t="n"/>
      <c r="AI37" s="26" t="n"/>
      <c r="AJ37" s="26" t="n"/>
      <c r="AK37" s="26" t="n"/>
      <c r="AL37" s="26" t="n"/>
      <c r="AM37" s="26" t="n"/>
      <c r="AN37" s="26" t="n"/>
      <c r="AO37" s="26" t="n"/>
      <c r="AP37" s="26" t="n"/>
      <c r="AQ37" s="26" t="n"/>
      <c r="AR37" s="26" t="n"/>
      <c r="AS37" s="26" t="n"/>
      <c r="AT37" s="26" t="n"/>
      <c r="AU37" s="26" t="n"/>
      <c r="AV37" s="26" t="n"/>
      <c r="AW37" s="26" t="n"/>
      <c r="AX37" s="26" t="n"/>
      <c r="AY37" s="26" t="n"/>
      <c r="AZ37" s="26" t="n"/>
      <c r="BA37" s="26" t="n"/>
      <c r="BB37" s="26" t="n"/>
      <c r="BC37" s="26" t="n"/>
      <c r="BD37" s="27" t="n"/>
      <c r="BE37" s="28" t="n"/>
      <c r="BF37" s="28" t="n"/>
      <c r="BG37" s="28" t="n"/>
      <c r="BH37" s="28" t="n"/>
      <c r="BI37" s="28" t="n"/>
      <c r="BJ37" s="28" t="n"/>
      <c r="BK37" s="28" t="n"/>
      <c r="BL37" s="28" t="n"/>
      <c r="BM37" s="28" t="n"/>
      <c r="BN37" s="28" t="n"/>
      <c r="BO37" s="28" t="n"/>
      <c r="BP37" s="28" t="n"/>
      <c r="BQ37" s="28" t="n"/>
      <c r="BR37" s="28" t="n"/>
      <c r="BS37" s="28" t="n"/>
    </row>
    <row r="38" ht="20" customHeight="1">
      <c r="A38" s="29" t="inlineStr">
        <is>
          <t>实际</t>
        </is>
      </c>
      <c r="B38" s="29" t="inlineStr">
        <is>
          <t>第一期</t>
        </is>
      </c>
      <c r="C38" s="30" t="inlineStr">
        <is>
          <t>PAB115·零件到位</t>
        </is>
      </c>
      <c r="D38" s="31">
        <f>'时间节点计划表'!E19</f>
        <v/>
      </c>
      <c r="E38" s="31">
        <f>IF(COUNT('时间节点计划表'!F19),'时间节点计划表'!F19,"")</f>
        <v/>
      </c>
      <c r="F38" s="32">
        <f>IF(OR(D38="",E38=""),"待填",E38-D38)</f>
        <v/>
      </c>
      <c r="G38" s="23">
        <f>IF(AND(COUNT($E38),N(G$2)=N($E38)),$E38,IF(AND(COUNT($E38),N(G$2)&gt;=N($G$2),N(G$2)&lt;N($E38))," ",""))</f>
        <v/>
      </c>
      <c r="H38" s="23">
        <f>IF(AND(COUNT($E38),N(H$2)=N($E38)),$E38,IF(AND(COUNT($E38),N(H$2)&gt;=N($G$2),N(H$2)&lt;N($E38))," ",""))</f>
        <v/>
      </c>
      <c r="I38" s="23">
        <f>IF(AND(COUNT($E38),N(I$2)=N($E38)),$E38,IF(AND(COUNT($E38),N(I$2)&gt;=N($G$2),N(I$2)&lt;N($E38))," ",""))</f>
        <v/>
      </c>
      <c r="J38" s="23">
        <f>IF(AND(COUNT($E38),N(J$2)=N($E38)),$E38,IF(AND(COUNT($E38),N(J$2)&gt;=N($G$2),N(J$2)&lt;N($E38))," ",""))</f>
        <v/>
      </c>
      <c r="K38" s="23">
        <f>IF(AND(COUNT($E38),N(K$2)=N($E38)),$E38,IF(AND(COUNT($E38),N(K$2)&gt;=N($G$2),N(K$2)&lt;N($E38))," ",""))</f>
        <v/>
      </c>
      <c r="L38" s="23">
        <f>IF(AND(COUNT($E38),N(L$2)=N($E38)),$E38,IF(AND(COUNT($E38),N(L$2)&gt;=N($G$2),N(L$2)&lt;N($E38))," ",""))</f>
        <v/>
      </c>
      <c r="M38" s="23">
        <f>IF(AND(COUNT($E38),N(M$2)=N($E38)),$E38,IF(AND(COUNT($E38),N(M$2)&gt;=N($G$2),N(M$2)&lt;N($E38))," ",""))</f>
        <v/>
      </c>
      <c r="N38" s="23">
        <f>IF(AND(COUNT($E38),N(N$2)=N($E38)),$E38,IF(AND(COUNT($E38),N(N$2)&gt;=N($G$2),N(N$2)&lt;N($E38))," ",""))</f>
        <v/>
      </c>
      <c r="O38" s="23">
        <f>IF(AND(COUNT($E38),N(O$2)=N($E38)),$E38,IF(AND(COUNT($E38),N(O$2)&gt;=N($G$2),N(O$2)&lt;N($E38))," ",""))</f>
        <v/>
      </c>
      <c r="P38" s="23">
        <f>IF(AND(COUNT($E38),N(P$2)=N($E38)),$E38,IF(AND(COUNT($E38),N(P$2)&gt;=N($G$2),N(P$2)&lt;N($E38))," ",""))</f>
        <v/>
      </c>
      <c r="Q38" s="23">
        <f>IF(AND(COUNT($E38),N(Q$2)=N($E38)),$E38,IF(AND(COUNT($E38),N(Q$2)&gt;=N($G$2),N(Q$2)&lt;N($E38))," ",""))</f>
        <v/>
      </c>
      <c r="R38" s="23">
        <f>IF(AND(COUNT($E38),N(R$2)=N($E38)),$E38,IF(AND(COUNT($E38),N(R$2)&gt;=N($G$2),N(R$2)&lt;N($E38))," ",""))</f>
        <v/>
      </c>
      <c r="S38" s="23">
        <f>IF(AND(COUNT($E38),N(S$2)=N($E38)),$E38,IF(AND(COUNT($E38),N(S$2)&gt;=N($G$2),N(S$2)&lt;N($E38))," ",""))</f>
        <v/>
      </c>
      <c r="T38" s="23">
        <f>IF(AND(COUNT($E38),N(T$2)=N($E38)),$E38,IF(AND(COUNT($E38),N(T$2)&gt;=N($G$2),N(T$2)&lt;N($E38))," ",""))</f>
        <v/>
      </c>
      <c r="U38" s="23">
        <f>IF(AND(COUNT($E38),N(U$2)=N($E38)),$E38,IF(AND(COUNT($E38),N(U$2)&gt;=N($G$2),N(U$2)&lt;N($E38))," ",""))</f>
        <v/>
      </c>
      <c r="V38" s="23">
        <f>IF(AND(COUNT($E38),N(V$2)=N($E38)),$E38,IF(AND(COUNT($E38),N(V$2)&gt;=N($G$2),N(V$2)&lt;N($E38))," ",""))</f>
        <v/>
      </c>
      <c r="W38" s="23">
        <f>IF(AND(COUNT($E38),N(W$2)=N($E38)),$E38,IF(AND(COUNT($E38),N(W$2)&gt;=N($G$2),N(W$2)&lt;N($E38))," ",""))</f>
        <v/>
      </c>
      <c r="X38" s="23">
        <f>IF(AND(COUNT($E38),N(X$2)=N($E38)),$E38,IF(AND(COUNT($E38),N(X$2)&gt;=N($G$2),N(X$2)&lt;N($E38))," ",""))</f>
        <v/>
      </c>
      <c r="Y38" s="23">
        <f>IF(AND(COUNT($E38),N(Y$2)=N($E38)),$E38,IF(AND(COUNT($E38),N(Y$2)&gt;=N($G$2),N(Y$2)&lt;N($E38))," ",""))</f>
        <v/>
      </c>
      <c r="Z38" s="23">
        <f>IF(AND(COUNT($E38),N(Z$2)=N($E38)),$E38,IF(AND(COUNT($E38),N(Z$2)&gt;=N($G$2),N(Z$2)&lt;N($E38))," ",""))</f>
        <v/>
      </c>
      <c r="AA38" s="23">
        <f>IF(AND(COUNT($E38),N(AA$2)=N($E38)),$E38,IF(AND(COUNT($E38),N(AA$2)&gt;=N($G$2),N(AA$2)&lt;N($E38))," ",""))</f>
        <v/>
      </c>
      <c r="AB38" s="23">
        <f>IF(AND(COUNT($E38),N(AB$2)=N($E38)),$E38,IF(AND(COUNT($E38),N(AB$2)&gt;=N($G$2),N(AB$2)&lt;N($E38))," ",""))</f>
        <v/>
      </c>
      <c r="AC38" s="23">
        <f>IF(AND(COUNT($E38),N(AC$2)=N($E38)),$E38,IF(AND(COUNT($E38),N(AC$2)&gt;=N($G$2),N(AC$2)&lt;N($E38))," ",""))</f>
        <v/>
      </c>
      <c r="AD38" s="23">
        <f>IF(AND(COUNT($E38),N(AD$2)=N($E38)),$E38,IF(AND(COUNT($E38),N(AD$2)&gt;=N($G$2),N(AD$2)&lt;N($E38))," ",""))</f>
        <v/>
      </c>
      <c r="AE38" s="23">
        <f>IF(AND(COUNT($E38),N(AE$2)=N($E38)),$E38,IF(AND(COUNT($E38),N(AE$2)&gt;=N($G$2),N(AE$2)&lt;N($E38))," ",""))</f>
        <v/>
      </c>
      <c r="AF38" s="23">
        <f>IF(AND(COUNT($E38),N(AF$2)=N($E38)),$E38,IF(AND(COUNT($E38),N(AF$2)&gt;=N($G$2),N(AF$2)&lt;N($E38))," ",""))</f>
        <v/>
      </c>
      <c r="AG38" s="23">
        <f>IF(AND(COUNT($E38),N(AG$2)=N($E38)),$E38,IF(AND(COUNT($E38),N(AG$2)&gt;=N($G$2),N(AG$2)&lt;N($E38))," ",""))</f>
        <v/>
      </c>
      <c r="AH38" s="23">
        <f>IF(AND(COUNT($E38),N(AH$2)=N($E38)),$E38,IF(AND(COUNT($E38),N(AH$2)&gt;=N($G$2),N(AH$2)&lt;N($E38))," ",""))</f>
        <v/>
      </c>
      <c r="AI38" s="23">
        <f>IF(AND(COUNT($E38),N(AI$2)=N($E38)),$E38,IF(AND(COUNT($E38),N(AI$2)&gt;=N($G$2),N(AI$2)&lt;N($E38))," ",""))</f>
        <v/>
      </c>
      <c r="AJ38" s="23">
        <f>IF(AND(COUNT($E38),N(AJ$2)=N($E38)),$E38,IF(AND(COUNT($E38),N(AJ$2)&gt;=N($G$2),N(AJ$2)&lt;N($E38))," ",""))</f>
        <v/>
      </c>
      <c r="AK38" s="23">
        <f>IF(AND(COUNT($E38),N(AK$2)=N($E38)),$E38,IF(AND(COUNT($E38),N(AK$2)&gt;=N($G$2),N(AK$2)&lt;N($E38))," ",""))</f>
        <v/>
      </c>
      <c r="AL38" s="23">
        <f>IF(AND(COUNT($E38),N(AL$2)=N($E38)),$E38,IF(AND(COUNT($E38),N(AL$2)&gt;=N($G$2),N(AL$2)&lt;N($E38))," ",""))</f>
        <v/>
      </c>
      <c r="AM38" s="23">
        <f>IF(AND(COUNT($E38),N(AM$2)=N($E38)),$E38,IF(AND(COUNT($E38),N(AM$2)&gt;=N($G$2),N(AM$2)&lt;N($E38))," ",""))</f>
        <v/>
      </c>
      <c r="AN38" s="23">
        <f>IF(AND(COUNT($E38),N(AN$2)=N($E38)),$E38,IF(AND(COUNT($E38),N(AN$2)&gt;=N($G$2),N(AN$2)&lt;N($E38))," ",""))</f>
        <v/>
      </c>
      <c r="AO38" s="23">
        <f>IF(AND(COUNT($E38),N(AO$2)=N($E38)),$E38,IF(AND(COUNT($E38),N(AO$2)&gt;=N($G$2),N(AO$2)&lt;N($E38))," ",""))</f>
        <v/>
      </c>
      <c r="AP38" s="23">
        <f>IF(AND(COUNT($E38),N(AP$2)=N($E38)),$E38,IF(AND(COUNT($E38),N(AP$2)&gt;=N($G$2),N(AP$2)&lt;N($E38))," ",""))</f>
        <v/>
      </c>
      <c r="AQ38" s="23">
        <f>IF(AND(COUNT($E38),N(AQ$2)=N($E38)),$E38,IF(AND(COUNT($E38),N(AQ$2)&gt;=N($G$2),N(AQ$2)&lt;N($E38))," ",""))</f>
        <v/>
      </c>
      <c r="AR38" s="23">
        <f>IF(AND(COUNT($E38),N(AR$2)=N($E38)),$E38,IF(AND(COUNT($E38),N(AR$2)&gt;=N($G$2),N(AR$2)&lt;N($E38))," ",""))</f>
        <v/>
      </c>
      <c r="AS38" s="23">
        <f>IF(AND(COUNT($E38),N(AS$2)=N($E38)),$E38,IF(AND(COUNT($E38),N(AS$2)&gt;=N($G$2),N(AS$2)&lt;N($E38))," ",""))</f>
        <v/>
      </c>
      <c r="AT38" s="23">
        <f>IF(AND(COUNT($E38),N(AT$2)=N($E38)),$E38,IF(AND(COUNT($E38),N(AT$2)&gt;=N($G$2),N(AT$2)&lt;N($E38))," ",""))</f>
        <v/>
      </c>
      <c r="AU38" s="23">
        <f>IF(AND(COUNT($E38),N(AU$2)=N($E38)),$E38,IF(AND(COUNT($E38),N(AU$2)&gt;=N($G$2),N(AU$2)&lt;N($E38))," ",""))</f>
        <v/>
      </c>
      <c r="AV38" s="23">
        <f>IF(AND(COUNT($E38),N(AV$2)=N($E38)),$E38,IF(AND(COUNT($E38),N(AV$2)&gt;=N($G$2),N(AV$2)&lt;N($E38))," ",""))</f>
        <v/>
      </c>
      <c r="AW38" s="23">
        <f>IF(AND(COUNT($E38),N(AW$2)=N($E38)),$E38,IF(AND(COUNT($E38),N(AW$2)&gt;=N($G$2),N(AW$2)&lt;N($E38))," ",""))</f>
        <v/>
      </c>
      <c r="AX38" s="23">
        <f>IF(AND(COUNT($E38),N(AX$2)=N($E38)),$E38,IF(AND(COUNT($E38),N(AX$2)&gt;=N($G$2),N(AX$2)&lt;N($E38))," ",""))</f>
        <v/>
      </c>
      <c r="AY38" s="23">
        <f>IF(AND(COUNT($E38),N(AY$2)=N($E38)),$E38,IF(AND(COUNT($E38),N(AY$2)&gt;=N($G$2),N(AY$2)&lt;N($E38))," ",""))</f>
        <v/>
      </c>
      <c r="AZ38" s="23">
        <f>IF(AND(COUNT($E38),N(AZ$2)=N($E38)),$E38,IF(AND(COUNT($E38),N(AZ$2)&gt;=N($G$2),N(AZ$2)&lt;N($E38))," ",""))</f>
        <v/>
      </c>
      <c r="BA38" s="23">
        <f>IF(AND(COUNT($E38),N(BA$2)=N($E38)),$E38,IF(AND(COUNT($E38),N(BA$2)&gt;=N($G$2),N(BA$2)&lt;N($E38))," ",""))</f>
        <v/>
      </c>
      <c r="BB38" s="23">
        <f>IF(AND(COUNT($E38),N(BB$2)=N($E38)),$E38,IF(AND(COUNT($E38),N(BB$2)&gt;=N($G$2),N(BB$2)&lt;N($E38))," ",""))</f>
        <v/>
      </c>
      <c r="BC38" s="23">
        <f>IF(AND(COUNT($E38),N(BC$2)=N($E38)),$E38,IF(AND(COUNT($E38),N(BC$2)&gt;=N($G$2),N(BC$2)&lt;N($E38))," ",""))</f>
        <v/>
      </c>
      <c r="BD38" s="23">
        <f>IF(AND(COUNT($E38),N(BD$2)=N($E38)),$E38,IF(AND(COUNT($E38),N(BD$2)&gt;=N($G$2),N(BD$2)&lt;N($E38))," ",""))</f>
        <v/>
      </c>
      <c r="BE38" s="23">
        <f>IF(AND(COUNT($E38),N(BE$2)=N($E38)),$E38,IF(AND(COUNT($E38),N(BE$2)&gt;=N($G$2),N(BE$2)&lt;N($E38))," ",""))</f>
        <v/>
      </c>
      <c r="BF38" s="23">
        <f>IF(AND(COUNT($E38),N(BF$2)=N($E38)),$E38,IF(AND(COUNT($E38),N(BF$2)&gt;=N($G$2),N(BF$2)&lt;N($E38))," ",""))</f>
        <v/>
      </c>
      <c r="BG38" s="23">
        <f>IF(AND(COUNT($E38),N(BG$2)=N($E38)),$E38,IF(AND(COUNT($E38),N(BG$2)&gt;=N($G$2),N(BG$2)&lt;N($E38))," ",""))</f>
        <v/>
      </c>
      <c r="BH38" s="23">
        <f>IF(AND(COUNT($E38),N(BH$2)=N($E38)),$E38,IF(AND(COUNT($E38),N(BH$2)&gt;=N($G$2),N(BH$2)&lt;N($E38))," ",""))</f>
        <v/>
      </c>
      <c r="BI38" s="23">
        <f>IF(AND(COUNT($E38),N(BI$2)=N($E38)),$E38,IF(AND(COUNT($E38),N(BI$2)&gt;=N($G$2),N(BI$2)&lt;N($E38))," ",""))</f>
        <v/>
      </c>
      <c r="BJ38" s="23">
        <f>IF(AND(COUNT($E38),N(BJ$2)=N($E38)),$E38,IF(AND(COUNT($E38),N(BJ$2)&gt;=N($G$2),N(BJ$2)&lt;N($E38))," ",""))</f>
        <v/>
      </c>
      <c r="BK38" s="23">
        <f>IF(AND(COUNT($E38),N(BK$2)=N($E38)),$E38,IF(AND(COUNT($E38),N(BK$2)&gt;=N($G$2),N(BK$2)&lt;N($E38))," ",""))</f>
        <v/>
      </c>
      <c r="BL38" s="23">
        <f>IF(AND(COUNT($E38),N(BL$2)=N($E38)),$E38,IF(AND(COUNT($E38),N(BL$2)&gt;=N($G$2),N(BL$2)&lt;N($E38))," ",""))</f>
        <v/>
      </c>
      <c r="BM38" s="23">
        <f>IF(AND(COUNT($E38),N(BM$2)=N($E38)),$E38,IF(AND(COUNT($E38),N(BM$2)&gt;=N($G$2),N(BM$2)&lt;N($E38))," ",""))</f>
        <v/>
      </c>
      <c r="BN38" s="23">
        <f>IF(AND(COUNT($E38),N(BN$2)=N($E38)),$E38,IF(AND(COUNT($E38),N(BN$2)&gt;=N($G$2),N(BN$2)&lt;N($E38))," ",""))</f>
        <v/>
      </c>
      <c r="BO38" s="23">
        <f>IF(AND(COUNT($E38),N(BO$2)=N($E38)),$E38,IF(AND(COUNT($E38),N(BO$2)&gt;=N($G$2),N(BO$2)&lt;N($E38))," ",""))</f>
        <v/>
      </c>
      <c r="BP38" s="23">
        <f>IF(AND(COUNT($E38),N(BP$2)=N($E38)),$E38,IF(AND(COUNT($E38),N(BP$2)&gt;=N($G$2),N(BP$2)&lt;N($E38))," ",""))</f>
        <v/>
      </c>
      <c r="BQ38" s="23">
        <f>IF(AND(COUNT($E38),N(BQ$2)=N($E38)),$E38,IF(AND(COUNT($E38),N(BQ$2)&gt;=N($G$2),N(BQ$2)&lt;N($E38))," ",""))</f>
        <v/>
      </c>
      <c r="BR38" s="23">
        <f>IF(AND(COUNT($E38),N(BR$2)=N($E38)),$E38,IF(AND(COUNT($E38),N(BR$2)&gt;=N($G$2),N(BR$2)&lt;N($E38))," ",""))</f>
        <v/>
      </c>
      <c r="BS38" s="23">
        <f>IF(AND(COUNT($E38),N(BS$2)=N($E38)),$E38,IF(AND(COUNT($E38),N(BS$2)&gt;=N($G$2),N(BS$2)&lt;N($E38))," ",""))</f>
        <v/>
      </c>
    </row>
    <row r="39" ht="20" customHeight="1">
      <c r="A39" s="21" t="inlineStr">
        <is>
          <t>预估</t>
        </is>
      </c>
      <c r="B39" s="21" t="inlineStr">
        <is>
          <t>第一期</t>
        </is>
      </c>
      <c r="C39" s="22" t="inlineStr">
        <is>
          <t>PAB115·工装图纸绘制</t>
        </is>
      </c>
      <c r="D39" s="23">
        <f>'时间节点计划表'!E20</f>
        <v/>
      </c>
      <c r="E39" s="23">
        <f>IF(COUNT('时间节点计划表'!F20),'时间节点计划表'!F20,"")</f>
        <v/>
      </c>
      <c r="F39" s="24" t="inlineStr"/>
      <c r="G39" s="25">
        <f>D39</f>
        <v/>
      </c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7" t="n"/>
      <c r="W39" s="28" t="n"/>
      <c r="X39" s="28" t="n"/>
      <c r="Y39" s="28" t="n"/>
      <c r="Z39" s="28" t="n"/>
      <c r="AA39" s="28" t="n"/>
      <c r="AB39" s="28" t="n"/>
      <c r="AC39" s="28" t="n"/>
      <c r="AD39" s="28" t="n"/>
      <c r="AE39" s="28" t="n"/>
      <c r="AF39" s="28" t="n"/>
      <c r="AG39" s="28" t="n"/>
      <c r="AH39" s="28" t="n"/>
      <c r="AI39" s="28" t="n"/>
      <c r="AJ39" s="28" t="n"/>
      <c r="AK39" s="28" t="n"/>
      <c r="AL39" s="28" t="n"/>
      <c r="AM39" s="28" t="n"/>
      <c r="AN39" s="28" t="n"/>
      <c r="AO39" s="28" t="n"/>
      <c r="AP39" s="28" t="n"/>
      <c r="AQ39" s="28" t="n"/>
      <c r="AR39" s="28" t="n"/>
      <c r="AS39" s="28" t="n"/>
      <c r="AT39" s="28" t="n"/>
      <c r="AU39" s="28" t="n"/>
      <c r="AV39" s="28" t="n"/>
      <c r="AW39" s="28" t="n"/>
      <c r="AX39" s="28" t="n"/>
      <c r="AY39" s="28" t="n"/>
      <c r="AZ39" s="28" t="n"/>
      <c r="BA39" s="28" t="n"/>
      <c r="BB39" s="28" t="n"/>
      <c r="BC39" s="28" t="n"/>
      <c r="BD39" s="28" t="n"/>
      <c r="BE39" s="28" t="n"/>
      <c r="BF39" s="28" t="n"/>
      <c r="BG39" s="28" t="n"/>
      <c r="BH39" s="28" t="n"/>
      <c r="BI39" s="28" t="n"/>
      <c r="BJ39" s="28" t="n"/>
      <c r="BK39" s="28" t="n"/>
      <c r="BL39" s="28" t="n"/>
      <c r="BM39" s="28" t="n"/>
      <c r="BN39" s="28" t="n"/>
      <c r="BO39" s="28" t="n"/>
      <c r="BP39" s="28" t="n"/>
      <c r="BQ39" s="28" t="n"/>
      <c r="BR39" s="28" t="n"/>
      <c r="BS39" s="28" t="n"/>
    </row>
    <row r="40" ht="20" customHeight="1">
      <c r="A40" s="29" t="inlineStr">
        <is>
          <t>实际</t>
        </is>
      </c>
      <c r="B40" s="29" t="inlineStr">
        <is>
          <t>第一期</t>
        </is>
      </c>
      <c r="C40" s="30" t="inlineStr">
        <is>
          <t>PAB115·工装图纸绘制</t>
        </is>
      </c>
      <c r="D40" s="31">
        <f>'时间节点计划表'!E20</f>
        <v/>
      </c>
      <c r="E40" s="31">
        <f>IF(COUNT('时间节点计划表'!F20),'时间节点计划表'!F20,"")</f>
        <v/>
      </c>
      <c r="F40" s="32">
        <f>IF(OR(D40="",E40=""),"待填",E40-D40)</f>
        <v/>
      </c>
      <c r="G40" s="23">
        <f>IF(AND(COUNT($E40),N(G$2)=N($E40)),$E40,IF(AND(COUNT($E40),N(G$2)&gt;=N($G$2),N(G$2)&lt;N($E40))," ",""))</f>
        <v/>
      </c>
      <c r="H40" s="23">
        <f>IF(AND(COUNT($E40),N(H$2)=N($E40)),$E40,IF(AND(COUNT($E40),N(H$2)&gt;=N($G$2),N(H$2)&lt;N($E40))," ",""))</f>
        <v/>
      </c>
      <c r="I40" s="23">
        <f>IF(AND(COUNT($E40),N(I$2)=N($E40)),$E40,IF(AND(COUNT($E40),N(I$2)&gt;=N($G$2),N(I$2)&lt;N($E40))," ",""))</f>
        <v/>
      </c>
      <c r="J40" s="23">
        <f>IF(AND(COUNT($E40),N(J$2)=N($E40)),$E40,IF(AND(COUNT($E40),N(J$2)&gt;=N($G$2),N(J$2)&lt;N($E40))," ",""))</f>
        <v/>
      </c>
      <c r="K40" s="23">
        <f>IF(AND(COUNT($E40),N(K$2)=N($E40)),$E40,IF(AND(COUNT($E40),N(K$2)&gt;=N($G$2),N(K$2)&lt;N($E40))," ",""))</f>
        <v/>
      </c>
      <c r="L40" s="23">
        <f>IF(AND(COUNT($E40),N(L$2)=N($E40)),$E40,IF(AND(COUNT($E40),N(L$2)&gt;=N($G$2),N(L$2)&lt;N($E40))," ",""))</f>
        <v/>
      </c>
      <c r="M40" s="23">
        <f>IF(AND(COUNT($E40),N(M$2)=N($E40)),$E40,IF(AND(COUNT($E40),N(M$2)&gt;=N($G$2),N(M$2)&lt;N($E40))," ",""))</f>
        <v/>
      </c>
      <c r="N40" s="23">
        <f>IF(AND(COUNT($E40),N(N$2)=N($E40)),$E40,IF(AND(COUNT($E40),N(N$2)&gt;=N($G$2),N(N$2)&lt;N($E40))," ",""))</f>
        <v/>
      </c>
      <c r="O40" s="23">
        <f>IF(AND(COUNT($E40),N(O$2)=N($E40)),$E40,IF(AND(COUNT($E40),N(O$2)&gt;=N($G$2),N(O$2)&lt;N($E40))," ",""))</f>
        <v/>
      </c>
      <c r="P40" s="23">
        <f>IF(AND(COUNT($E40),N(P$2)=N($E40)),$E40,IF(AND(COUNT($E40),N(P$2)&gt;=N($G$2),N(P$2)&lt;N($E40))," ",""))</f>
        <v/>
      </c>
      <c r="Q40" s="23">
        <f>IF(AND(COUNT($E40),N(Q$2)=N($E40)),$E40,IF(AND(COUNT($E40),N(Q$2)&gt;=N($G$2),N(Q$2)&lt;N($E40))," ",""))</f>
        <v/>
      </c>
      <c r="R40" s="23">
        <f>IF(AND(COUNT($E40),N(R$2)=N($E40)),$E40,IF(AND(COUNT($E40),N(R$2)&gt;=N($G$2),N(R$2)&lt;N($E40))," ",""))</f>
        <v/>
      </c>
      <c r="S40" s="23">
        <f>IF(AND(COUNT($E40),N(S$2)=N($E40)),$E40,IF(AND(COUNT($E40),N(S$2)&gt;=N($G$2),N(S$2)&lt;N($E40))," ",""))</f>
        <v/>
      </c>
      <c r="T40" s="23">
        <f>IF(AND(COUNT($E40),N(T$2)=N($E40)),$E40,IF(AND(COUNT($E40),N(T$2)&gt;=N($G$2),N(T$2)&lt;N($E40))," ",""))</f>
        <v/>
      </c>
      <c r="U40" s="23">
        <f>IF(AND(COUNT($E40),N(U$2)=N($E40)),$E40,IF(AND(COUNT($E40),N(U$2)&gt;=N($G$2),N(U$2)&lt;N($E40))," ",""))</f>
        <v/>
      </c>
      <c r="V40" s="23">
        <f>IF(AND(COUNT($E40),N(V$2)=N($E40)),$E40,IF(AND(COUNT($E40),N(V$2)&gt;=N($G$2),N(V$2)&lt;N($E40))," ",""))</f>
        <v/>
      </c>
      <c r="W40" s="23">
        <f>IF(AND(COUNT($E40),N(W$2)=N($E40)),$E40,IF(AND(COUNT($E40),N(W$2)&gt;=N($G$2),N(W$2)&lt;N($E40))," ",""))</f>
        <v/>
      </c>
      <c r="X40" s="23">
        <f>IF(AND(COUNT($E40),N(X$2)=N($E40)),$E40,IF(AND(COUNT($E40),N(X$2)&gt;=N($G$2),N(X$2)&lt;N($E40))," ",""))</f>
        <v/>
      </c>
      <c r="Y40" s="23">
        <f>IF(AND(COUNT($E40),N(Y$2)=N($E40)),$E40,IF(AND(COUNT($E40),N(Y$2)&gt;=N($G$2),N(Y$2)&lt;N($E40))," ",""))</f>
        <v/>
      </c>
      <c r="Z40" s="23">
        <f>IF(AND(COUNT($E40),N(Z$2)=N($E40)),$E40,IF(AND(COUNT($E40),N(Z$2)&gt;=N($G$2),N(Z$2)&lt;N($E40))," ",""))</f>
        <v/>
      </c>
      <c r="AA40" s="23">
        <f>IF(AND(COUNT($E40),N(AA$2)=N($E40)),$E40,IF(AND(COUNT($E40),N(AA$2)&gt;=N($G$2),N(AA$2)&lt;N($E40))," ",""))</f>
        <v/>
      </c>
      <c r="AB40" s="23">
        <f>IF(AND(COUNT($E40),N(AB$2)=N($E40)),$E40,IF(AND(COUNT($E40),N(AB$2)&gt;=N($G$2),N(AB$2)&lt;N($E40))," ",""))</f>
        <v/>
      </c>
      <c r="AC40" s="23">
        <f>IF(AND(COUNT($E40),N(AC$2)=N($E40)),$E40,IF(AND(COUNT($E40),N(AC$2)&gt;=N($G$2),N(AC$2)&lt;N($E40))," ",""))</f>
        <v/>
      </c>
      <c r="AD40" s="23">
        <f>IF(AND(COUNT($E40),N(AD$2)=N($E40)),$E40,IF(AND(COUNT($E40),N(AD$2)&gt;=N($G$2),N(AD$2)&lt;N($E40))," ",""))</f>
        <v/>
      </c>
      <c r="AE40" s="23">
        <f>IF(AND(COUNT($E40),N(AE$2)=N($E40)),$E40,IF(AND(COUNT($E40),N(AE$2)&gt;=N($G$2),N(AE$2)&lt;N($E40))," ",""))</f>
        <v/>
      </c>
      <c r="AF40" s="23">
        <f>IF(AND(COUNT($E40),N(AF$2)=N($E40)),$E40,IF(AND(COUNT($E40),N(AF$2)&gt;=N($G$2),N(AF$2)&lt;N($E40))," ",""))</f>
        <v/>
      </c>
      <c r="AG40" s="23">
        <f>IF(AND(COUNT($E40),N(AG$2)=N($E40)),$E40,IF(AND(COUNT($E40),N(AG$2)&gt;=N($G$2),N(AG$2)&lt;N($E40))," ",""))</f>
        <v/>
      </c>
      <c r="AH40" s="23">
        <f>IF(AND(COUNT($E40),N(AH$2)=N($E40)),$E40,IF(AND(COUNT($E40),N(AH$2)&gt;=N($G$2),N(AH$2)&lt;N($E40))," ",""))</f>
        <v/>
      </c>
      <c r="AI40" s="23">
        <f>IF(AND(COUNT($E40),N(AI$2)=N($E40)),$E40,IF(AND(COUNT($E40),N(AI$2)&gt;=N($G$2),N(AI$2)&lt;N($E40))," ",""))</f>
        <v/>
      </c>
      <c r="AJ40" s="23">
        <f>IF(AND(COUNT($E40),N(AJ$2)=N($E40)),$E40,IF(AND(COUNT($E40),N(AJ$2)&gt;=N($G$2),N(AJ$2)&lt;N($E40))," ",""))</f>
        <v/>
      </c>
      <c r="AK40" s="23">
        <f>IF(AND(COUNT($E40),N(AK$2)=N($E40)),$E40,IF(AND(COUNT($E40),N(AK$2)&gt;=N($G$2),N(AK$2)&lt;N($E40))," ",""))</f>
        <v/>
      </c>
      <c r="AL40" s="23">
        <f>IF(AND(COUNT($E40),N(AL$2)=N($E40)),$E40,IF(AND(COUNT($E40),N(AL$2)&gt;=N($G$2),N(AL$2)&lt;N($E40))," ",""))</f>
        <v/>
      </c>
      <c r="AM40" s="23">
        <f>IF(AND(COUNT($E40),N(AM$2)=N($E40)),$E40,IF(AND(COUNT($E40),N(AM$2)&gt;=N($G$2),N(AM$2)&lt;N($E40))," ",""))</f>
        <v/>
      </c>
      <c r="AN40" s="23">
        <f>IF(AND(COUNT($E40),N(AN$2)=N($E40)),$E40,IF(AND(COUNT($E40),N(AN$2)&gt;=N($G$2),N(AN$2)&lt;N($E40))," ",""))</f>
        <v/>
      </c>
      <c r="AO40" s="23">
        <f>IF(AND(COUNT($E40),N(AO$2)=N($E40)),$E40,IF(AND(COUNT($E40),N(AO$2)&gt;=N($G$2),N(AO$2)&lt;N($E40))," ",""))</f>
        <v/>
      </c>
      <c r="AP40" s="23">
        <f>IF(AND(COUNT($E40),N(AP$2)=N($E40)),$E40,IF(AND(COUNT($E40),N(AP$2)&gt;=N($G$2),N(AP$2)&lt;N($E40))," ",""))</f>
        <v/>
      </c>
      <c r="AQ40" s="23">
        <f>IF(AND(COUNT($E40),N(AQ$2)=N($E40)),$E40,IF(AND(COUNT($E40),N(AQ$2)&gt;=N($G$2),N(AQ$2)&lt;N($E40))," ",""))</f>
        <v/>
      </c>
      <c r="AR40" s="23">
        <f>IF(AND(COUNT($E40),N(AR$2)=N($E40)),$E40,IF(AND(COUNT($E40),N(AR$2)&gt;=N($G$2),N(AR$2)&lt;N($E40))," ",""))</f>
        <v/>
      </c>
      <c r="AS40" s="23">
        <f>IF(AND(COUNT($E40),N(AS$2)=N($E40)),$E40,IF(AND(COUNT($E40),N(AS$2)&gt;=N($G$2),N(AS$2)&lt;N($E40))," ",""))</f>
        <v/>
      </c>
      <c r="AT40" s="23">
        <f>IF(AND(COUNT($E40),N(AT$2)=N($E40)),$E40,IF(AND(COUNT($E40),N(AT$2)&gt;=N($G$2),N(AT$2)&lt;N($E40))," ",""))</f>
        <v/>
      </c>
      <c r="AU40" s="23">
        <f>IF(AND(COUNT($E40),N(AU$2)=N($E40)),$E40,IF(AND(COUNT($E40),N(AU$2)&gt;=N($G$2),N(AU$2)&lt;N($E40))," ",""))</f>
        <v/>
      </c>
      <c r="AV40" s="23">
        <f>IF(AND(COUNT($E40),N(AV$2)=N($E40)),$E40,IF(AND(COUNT($E40),N(AV$2)&gt;=N($G$2),N(AV$2)&lt;N($E40))," ",""))</f>
        <v/>
      </c>
      <c r="AW40" s="23">
        <f>IF(AND(COUNT($E40),N(AW$2)=N($E40)),$E40,IF(AND(COUNT($E40),N(AW$2)&gt;=N($G$2),N(AW$2)&lt;N($E40))," ",""))</f>
        <v/>
      </c>
      <c r="AX40" s="23">
        <f>IF(AND(COUNT($E40),N(AX$2)=N($E40)),$E40,IF(AND(COUNT($E40),N(AX$2)&gt;=N($G$2),N(AX$2)&lt;N($E40))," ",""))</f>
        <v/>
      </c>
      <c r="AY40" s="23">
        <f>IF(AND(COUNT($E40),N(AY$2)=N($E40)),$E40,IF(AND(COUNT($E40),N(AY$2)&gt;=N($G$2),N(AY$2)&lt;N($E40))," ",""))</f>
        <v/>
      </c>
      <c r="AZ40" s="23">
        <f>IF(AND(COUNT($E40),N(AZ$2)=N($E40)),$E40,IF(AND(COUNT($E40),N(AZ$2)&gt;=N($G$2),N(AZ$2)&lt;N($E40))," ",""))</f>
        <v/>
      </c>
      <c r="BA40" s="23">
        <f>IF(AND(COUNT($E40),N(BA$2)=N($E40)),$E40,IF(AND(COUNT($E40),N(BA$2)&gt;=N($G$2),N(BA$2)&lt;N($E40))," ",""))</f>
        <v/>
      </c>
      <c r="BB40" s="23">
        <f>IF(AND(COUNT($E40),N(BB$2)=N($E40)),$E40,IF(AND(COUNT($E40),N(BB$2)&gt;=N($G$2),N(BB$2)&lt;N($E40))," ",""))</f>
        <v/>
      </c>
      <c r="BC40" s="23">
        <f>IF(AND(COUNT($E40),N(BC$2)=N($E40)),$E40,IF(AND(COUNT($E40),N(BC$2)&gt;=N($G$2),N(BC$2)&lt;N($E40))," ",""))</f>
        <v/>
      </c>
      <c r="BD40" s="23">
        <f>IF(AND(COUNT($E40),N(BD$2)=N($E40)),$E40,IF(AND(COUNT($E40),N(BD$2)&gt;=N($G$2),N(BD$2)&lt;N($E40))," ",""))</f>
        <v/>
      </c>
      <c r="BE40" s="23">
        <f>IF(AND(COUNT($E40),N(BE$2)=N($E40)),$E40,IF(AND(COUNT($E40),N(BE$2)&gt;=N($G$2),N(BE$2)&lt;N($E40))," ",""))</f>
        <v/>
      </c>
      <c r="BF40" s="23">
        <f>IF(AND(COUNT($E40),N(BF$2)=N($E40)),$E40,IF(AND(COUNT($E40),N(BF$2)&gt;=N($G$2),N(BF$2)&lt;N($E40))," ",""))</f>
        <v/>
      </c>
      <c r="BG40" s="23">
        <f>IF(AND(COUNT($E40),N(BG$2)=N($E40)),$E40,IF(AND(COUNT($E40),N(BG$2)&gt;=N($G$2),N(BG$2)&lt;N($E40))," ",""))</f>
        <v/>
      </c>
      <c r="BH40" s="23">
        <f>IF(AND(COUNT($E40),N(BH$2)=N($E40)),$E40,IF(AND(COUNT($E40),N(BH$2)&gt;=N($G$2),N(BH$2)&lt;N($E40))," ",""))</f>
        <v/>
      </c>
      <c r="BI40" s="23">
        <f>IF(AND(COUNT($E40),N(BI$2)=N($E40)),$E40,IF(AND(COUNT($E40),N(BI$2)&gt;=N($G$2),N(BI$2)&lt;N($E40))," ",""))</f>
        <v/>
      </c>
      <c r="BJ40" s="23">
        <f>IF(AND(COUNT($E40),N(BJ$2)=N($E40)),$E40,IF(AND(COUNT($E40),N(BJ$2)&gt;=N($G$2),N(BJ$2)&lt;N($E40))," ",""))</f>
        <v/>
      </c>
      <c r="BK40" s="23">
        <f>IF(AND(COUNT($E40),N(BK$2)=N($E40)),$E40,IF(AND(COUNT($E40),N(BK$2)&gt;=N($G$2),N(BK$2)&lt;N($E40))," ",""))</f>
        <v/>
      </c>
      <c r="BL40" s="23">
        <f>IF(AND(COUNT($E40),N(BL$2)=N($E40)),$E40,IF(AND(COUNT($E40),N(BL$2)&gt;=N($G$2),N(BL$2)&lt;N($E40))," ",""))</f>
        <v/>
      </c>
      <c r="BM40" s="23">
        <f>IF(AND(COUNT($E40),N(BM$2)=N($E40)),$E40,IF(AND(COUNT($E40),N(BM$2)&gt;=N($G$2),N(BM$2)&lt;N($E40))," ",""))</f>
        <v/>
      </c>
      <c r="BN40" s="23">
        <f>IF(AND(COUNT($E40),N(BN$2)=N($E40)),$E40,IF(AND(COUNT($E40),N(BN$2)&gt;=N($G$2),N(BN$2)&lt;N($E40))," ",""))</f>
        <v/>
      </c>
      <c r="BO40" s="23">
        <f>IF(AND(COUNT($E40),N(BO$2)=N($E40)),$E40,IF(AND(COUNT($E40),N(BO$2)&gt;=N($G$2),N(BO$2)&lt;N($E40))," ",""))</f>
        <v/>
      </c>
      <c r="BP40" s="23">
        <f>IF(AND(COUNT($E40),N(BP$2)=N($E40)),$E40,IF(AND(COUNT($E40),N(BP$2)&gt;=N($G$2),N(BP$2)&lt;N($E40))," ",""))</f>
        <v/>
      </c>
      <c r="BQ40" s="23">
        <f>IF(AND(COUNT($E40),N(BQ$2)=N($E40)),$E40,IF(AND(COUNT($E40),N(BQ$2)&gt;=N($G$2),N(BQ$2)&lt;N($E40))," ",""))</f>
        <v/>
      </c>
      <c r="BR40" s="23">
        <f>IF(AND(COUNT($E40),N(BR$2)=N($E40)),$E40,IF(AND(COUNT($E40),N(BR$2)&gt;=N($G$2),N(BR$2)&lt;N($E40))," ",""))</f>
        <v/>
      </c>
      <c r="BS40" s="23">
        <f>IF(AND(COUNT($E40),N(BS$2)=N($E40)),$E40,IF(AND(COUNT($E40),N(BS$2)&gt;=N($G$2),N(BS$2)&lt;N($E40))," ",""))</f>
        <v/>
      </c>
    </row>
    <row r="41" ht="20" customHeight="1">
      <c r="A41" s="21" t="inlineStr">
        <is>
          <t>预估</t>
        </is>
      </c>
      <c r="B41" s="21" t="inlineStr">
        <is>
          <t>第一期</t>
        </is>
      </c>
      <c r="C41" s="22" t="inlineStr">
        <is>
          <t>PAB115·工装实物到位</t>
        </is>
      </c>
      <c r="D41" s="23">
        <f>'时间节点计划表'!E21</f>
        <v/>
      </c>
      <c r="E41" s="23">
        <f>IF(COUNT('时间节点计划表'!F21),'时间节点计划表'!F21,"")</f>
        <v/>
      </c>
      <c r="F41" s="24" t="inlineStr"/>
      <c r="G41" s="25">
        <f>D41</f>
        <v/>
      </c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  <c r="AF41" s="26" t="n"/>
      <c r="AG41" s="26" t="n"/>
      <c r="AH41" s="26" t="n"/>
      <c r="AI41" s="26" t="n"/>
      <c r="AJ41" s="26" t="n"/>
      <c r="AK41" s="26" t="n"/>
      <c r="AL41" s="26" t="n"/>
      <c r="AM41" s="26" t="n"/>
      <c r="AN41" s="26" t="n"/>
      <c r="AO41" s="26" t="n"/>
      <c r="AP41" s="26" t="n"/>
      <c r="AQ41" s="27" t="n"/>
      <c r="AR41" s="28" t="n"/>
      <c r="AS41" s="28" t="n"/>
      <c r="AT41" s="28" t="n"/>
      <c r="AU41" s="28" t="n"/>
      <c r="AV41" s="28" t="n"/>
      <c r="AW41" s="28" t="n"/>
      <c r="AX41" s="28" t="n"/>
      <c r="AY41" s="28" t="n"/>
      <c r="AZ41" s="28" t="n"/>
      <c r="BA41" s="28" t="n"/>
      <c r="BB41" s="28" t="n"/>
      <c r="BC41" s="28" t="n"/>
      <c r="BD41" s="28" t="n"/>
      <c r="BE41" s="28" t="n"/>
      <c r="BF41" s="28" t="n"/>
      <c r="BG41" s="28" t="n"/>
      <c r="BH41" s="28" t="n"/>
      <c r="BI41" s="28" t="n"/>
      <c r="BJ41" s="28" t="n"/>
      <c r="BK41" s="28" t="n"/>
      <c r="BL41" s="28" t="n"/>
      <c r="BM41" s="28" t="n"/>
      <c r="BN41" s="28" t="n"/>
      <c r="BO41" s="28" t="n"/>
      <c r="BP41" s="28" t="n"/>
      <c r="BQ41" s="28" t="n"/>
      <c r="BR41" s="28" t="n"/>
      <c r="BS41" s="28" t="n"/>
    </row>
    <row r="42" ht="20" customHeight="1">
      <c r="A42" s="29" t="inlineStr">
        <is>
          <t>实际</t>
        </is>
      </c>
      <c r="B42" s="29" t="inlineStr">
        <is>
          <t>第一期</t>
        </is>
      </c>
      <c r="C42" s="30" t="inlineStr">
        <is>
          <t>PAB115·工装实物到位</t>
        </is>
      </c>
      <c r="D42" s="31">
        <f>'时间节点计划表'!E21</f>
        <v/>
      </c>
      <c r="E42" s="31">
        <f>IF(COUNT('时间节点计划表'!F21),'时间节点计划表'!F21,"")</f>
        <v/>
      </c>
      <c r="F42" s="32">
        <f>IF(OR(D42="",E42=""),"待填",E42-D42)</f>
        <v/>
      </c>
      <c r="G42" s="23">
        <f>IF(AND(COUNT($E42),N(G$2)=N($E42)),$E42,IF(AND(COUNT($E42),N(G$2)&gt;=N($G$2),N(G$2)&lt;N($E42))," ",""))</f>
        <v/>
      </c>
      <c r="H42" s="23">
        <f>IF(AND(COUNT($E42),N(H$2)=N($E42)),$E42,IF(AND(COUNT($E42),N(H$2)&gt;=N($G$2),N(H$2)&lt;N($E42))," ",""))</f>
        <v/>
      </c>
      <c r="I42" s="23">
        <f>IF(AND(COUNT($E42),N(I$2)=N($E42)),$E42,IF(AND(COUNT($E42),N(I$2)&gt;=N($G$2),N(I$2)&lt;N($E42))," ",""))</f>
        <v/>
      </c>
      <c r="J42" s="23">
        <f>IF(AND(COUNT($E42),N(J$2)=N($E42)),$E42,IF(AND(COUNT($E42),N(J$2)&gt;=N($G$2),N(J$2)&lt;N($E42))," ",""))</f>
        <v/>
      </c>
      <c r="K42" s="23">
        <f>IF(AND(COUNT($E42),N(K$2)=N($E42)),$E42,IF(AND(COUNT($E42),N(K$2)&gt;=N($G$2),N(K$2)&lt;N($E42))," ",""))</f>
        <v/>
      </c>
      <c r="L42" s="23">
        <f>IF(AND(COUNT($E42),N(L$2)=N($E42)),$E42,IF(AND(COUNT($E42),N(L$2)&gt;=N($G$2),N(L$2)&lt;N($E42))," ",""))</f>
        <v/>
      </c>
      <c r="M42" s="23">
        <f>IF(AND(COUNT($E42),N(M$2)=N($E42)),$E42,IF(AND(COUNT($E42),N(M$2)&gt;=N($G$2),N(M$2)&lt;N($E42))," ",""))</f>
        <v/>
      </c>
      <c r="N42" s="23">
        <f>IF(AND(COUNT($E42),N(N$2)=N($E42)),$E42,IF(AND(COUNT($E42),N(N$2)&gt;=N($G$2),N(N$2)&lt;N($E42))," ",""))</f>
        <v/>
      </c>
      <c r="O42" s="23">
        <f>IF(AND(COUNT($E42),N(O$2)=N($E42)),$E42,IF(AND(COUNT($E42),N(O$2)&gt;=N($G$2),N(O$2)&lt;N($E42))," ",""))</f>
        <v/>
      </c>
      <c r="P42" s="23">
        <f>IF(AND(COUNT($E42),N(P$2)=N($E42)),$E42,IF(AND(COUNT($E42),N(P$2)&gt;=N($G$2),N(P$2)&lt;N($E42))," ",""))</f>
        <v/>
      </c>
      <c r="Q42" s="23">
        <f>IF(AND(COUNT($E42),N(Q$2)=N($E42)),$E42,IF(AND(COUNT($E42),N(Q$2)&gt;=N($G$2),N(Q$2)&lt;N($E42))," ",""))</f>
        <v/>
      </c>
      <c r="R42" s="23">
        <f>IF(AND(COUNT($E42),N(R$2)=N($E42)),$E42,IF(AND(COUNT($E42),N(R$2)&gt;=N($G$2),N(R$2)&lt;N($E42))," ",""))</f>
        <v/>
      </c>
      <c r="S42" s="23">
        <f>IF(AND(COUNT($E42),N(S$2)=N($E42)),$E42,IF(AND(COUNT($E42),N(S$2)&gt;=N($G$2),N(S$2)&lt;N($E42))," ",""))</f>
        <v/>
      </c>
      <c r="T42" s="23">
        <f>IF(AND(COUNT($E42),N(T$2)=N($E42)),$E42,IF(AND(COUNT($E42),N(T$2)&gt;=N($G$2),N(T$2)&lt;N($E42))," ",""))</f>
        <v/>
      </c>
      <c r="U42" s="23">
        <f>IF(AND(COUNT($E42),N(U$2)=N($E42)),$E42,IF(AND(COUNT($E42),N(U$2)&gt;=N($G$2),N(U$2)&lt;N($E42))," ",""))</f>
        <v/>
      </c>
      <c r="V42" s="23">
        <f>IF(AND(COUNT($E42),N(V$2)=N($E42)),$E42,IF(AND(COUNT($E42),N(V$2)&gt;=N($G$2),N(V$2)&lt;N($E42))," ",""))</f>
        <v/>
      </c>
      <c r="W42" s="23">
        <f>IF(AND(COUNT($E42),N(W$2)=N($E42)),$E42,IF(AND(COUNT($E42),N(W$2)&gt;=N($G$2),N(W$2)&lt;N($E42))," ",""))</f>
        <v/>
      </c>
      <c r="X42" s="23">
        <f>IF(AND(COUNT($E42),N(X$2)=N($E42)),$E42,IF(AND(COUNT($E42),N(X$2)&gt;=N($G$2),N(X$2)&lt;N($E42))," ",""))</f>
        <v/>
      </c>
      <c r="Y42" s="23">
        <f>IF(AND(COUNT($E42),N(Y$2)=N($E42)),$E42,IF(AND(COUNT($E42),N(Y$2)&gt;=N($G$2),N(Y$2)&lt;N($E42))," ",""))</f>
        <v/>
      </c>
      <c r="Z42" s="23">
        <f>IF(AND(COUNT($E42),N(Z$2)=N($E42)),$E42,IF(AND(COUNT($E42),N(Z$2)&gt;=N($G$2),N(Z$2)&lt;N($E42))," ",""))</f>
        <v/>
      </c>
      <c r="AA42" s="23">
        <f>IF(AND(COUNT($E42),N(AA$2)=N($E42)),$E42,IF(AND(COUNT($E42),N(AA$2)&gt;=N($G$2),N(AA$2)&lt;N($E42))," ",""))</f>
        <v/>
      </c>
      <c r="AB42" s="23">
        <f>IF(AND(COUNT($E42),N(AB$2)=N($E42)),$E42,IF(AND(COUNT($E42),N(AB$2)&gt;=N($G$2),N(AB$2)&lt;N($E42))," ",""))</f>
        <v/>
      </c>
      <c r="AC42" s="23">
        <f>IF(AND(COUNT($E42),N(AC$2)=N($E42)),$E42,IF(AND(COUNT($E42),N(AC$2)&gt;=N($G$2),N(AC$2)&lt;N($E42))," ",""))</f>
        <v/>
      </c>
      <c r="AD42" s="23">
        <f>IF(AND(COUNT($E42),N(AD$2)=N($E42)),$E42,IF(AND(COUNT($E42),N(AD$2)&gt;=N($G$2),N(AD$2)&lt;N($E42))," ",""))</f>
        <v/>
      </c>
      <c r="AE42" s="23">
        <f>IF(AND(COUNT($E42),N(AE$2)=N($E42)),$E42,IF(AND(COUNT($E42),N(AE$2)&gt;=N($G$2),N(AE$2)&lt;N($E42))," ",""))</f>
        <v/>
      </c>
      <c r="AF42" s="23">
        <f>IF(AND(COUNT($E42),N(AF$2)=N($E42)),$E42,IF(AND(COUNT($E42),N(AF$2)&gt;=N($G$2),N(AF$2)&lt;N($E42))," ",""))</f>
        <v/>
      </c>
      <c r="AG42" s="23">
        <f>IF(AND(COUNT($E42),N(AG$2)=N($E42)),$E42,IF(AND(COUNT($E42),N(AG$2)&gt;=N($G$2),N(AG$2)&lt;N($E42))," ",""))</f>
        <v/>
      </c>
      <c r="AH42" s="23">
        <f>IF(AND(COUNT($E42),N(AH$2)=N($E42)),$E42,IF(AND(COUNT($E42),N(AH$2)&gt;=N($G$2),N(AH$2)&lt;N($E42))," ",""))</f>
        <v/>
      </c>
      <c r="AI42" s="23">
        <f>IF(AND(COUNT($E42),N(AI$2)=N($E42)),$E42,IF(AND(COUNT($E42),N(AI$2)&gt;=N($G$2),N(AI$2)&lt;N($E42))," ",""))</f>
        <v/>
      </c>
      <c r="AJ42" s="23">
        <f>IF(AND(COUNT($E42),N(AJ$2)=N($E42)),$E42,IF(AND(COUNT($E42),N(AJ$2)&gt;=N($G$2),N(AJ$2)&lt;N($E42))," ",""))</f>
        <v/>
      </c>
      <c r="AK42" s="23">
        <f>IF(AND(COUNT($E42),N(AK$2)=N($E42)),$E42,IF(AND(COUNT($E42),N(AK$2)&gt;=N($G$2),N(AK$2)&lt;N($E42))," ",""))</f>
        <v/>
      </c>
      <c r="AL42" s="23">
        <f>IF(AND(COUNT($E42),N(AL$2)=N($E42)),$E42,IF(AND(COUNT($E42),N(AL$2)&gt;=N($G$2),N(AL$2)&lt;N($E42))," ",""))</f>
        <v/>
      </c>
      <c r="AM42" s="23">
        <f>IF(AND(COUNT($E42),N(AM$2)=N($E42)),$E42,IF(AND(COUNT($E42),N(AM$2)&gt;=N($G$2),N(AM$2)&lt;N($E42))," ",""))</f>
        <v/>
      </c>
      <c r="AN42" s="23">
        <f>IF(AND(COUNT($E42),N(AN$2)=N($E42)),$E42,IF(AND(COUNT($E42),N(AN$2)&gt;=N($G$2),N(AN$2)&lt;N($E42))," ",""))</f>
        <v/>
      </c>
      <c r="AO42" s="23">
        <f>IF(AND(COUNT($E42),N(AO$2)=N($E42)),$E42,IF(AND(COUNT($E42),N(AO$2)&gt;=N($G$2),N(AO$2)&lt;N($E42))," ",""))</f>
        <v/>
      </c>
      <c r="AP42" s="23">
        <f>IF(AND(COUNT($E42),N(AP$2)=N($E42)),$E42,IF(AND(COUNT($E42),N(AP$2)&gt;=N($G$2),N(AP$2)&lt;N($E42))," ",""))</f>
        <v/>
      </c>
      <c r="AQ42" s="23">
        <f>IF(AND(COUNT($E42),N(AQ$2)=N($E42)),$E42,IF(AND(COUNT($E42),N(AQ$2)&gt;=N($G$2),N(AQ$2)&lt;N($E42))," ",""))</f>
        <v/>
      </c>
      <c r="AR42" s="23">
        <f>IF(AND(COUNT($E42),N(AR$2)=N($E42)),$E42,IF(AND(COUNT($E42),N(AR$2)&gt;=N($G$2),N(AR$2)&lt;N($E42))," ",""))</f>
        <v/>
      </c>
      <c r="AS42" s="23">
        <f>IF(AND(COUNT($E42),N(AS$2)=N($E42)),$E42,IF(AND(COUNT($E42),N(AS$2)&gt;=N($G$2),N(AS$2)&lt;N($E42))," ",""))</f>
        <v/>
      </c>
      <c r="AT42" s="23">
        <f>IF(AND(COUNT($E42),N(AT$2)=N($E42)),$E42,IF(AND(COUNT($E42),N(AT$2)&gt;=N($G$2),N(AT$2)&lt;N($E42))," ",""))</f>
        <v/>
      </c>
      <c r="AU42" s="23">
        <f>IF(AND(COUNT($E42),N(AU$2)=N($E42)),$E42,IF(AND(COUNT($E42),N(AU$2)&gt;=N($G$2),N(AU$2)&lt;N($E42))," ",""))</f>
        <v/>
      </c>
      <c r="AV42" s="23">
        <f>IF(AND(COUNT($E42),N(AV$2)=N($E42)),$E42,IF(AND(COUNT($E42),N(AV$2)&gt;=N($G$2),N(AV$2)&lt;N($E42))," ",""))</f>
        <v/>
      </c>
      <c r="AW42" s="23">
        <f>IF(AND(COUNT($E42),N(AW$2)=N($E42)),$E42,IF(AND(COUNT($E42),N(AW$2)&gt;=N($G$2),N(AW$2)&lt;N($E42))," ",""))</f>
        <v/>
      </c>
      <c r="AX42" s="23">
        <f>IF(AND(COUNT($E42),N(AX$2)=N($E42)),$E42,IF(AND(COUNT($E42),N(AX$2)&gt;=N($G$2),N(AX$2)&lt;N($E42))," ",""))</f>
        <v/>
      </c>
      <c r="AY42" s="23">
        <f>IF(AND(COUNT($E42),N(AY$2)=N($E42)),$E42,IF(AND(COUNT($E42),N(AY$2)&gt;=N($G$2),N(AY$2)&lt;N($E42))," ",""))</f>
        <v/>
      </c>
      <c r="AZ42" s="23">
        <f>IF(AND(COUNT($E42),N(AZ$2)=N($E42)),$E42,IF(AND(COUNT($E42),N(AZ$2)&gt;=N($G$2),N(AZ$2)&lt;N($E42))," ",""))</f>
        <v/>
      </c>
      <c r="BA42" s="23">
        <f>IF(AND(COUNT($E42),N(BA$2)=N($E42)),$E42,IF(AND(COUNT($E42),N(BA$2)&gt;=N($G$2),N(BA$2)&lt;N($E42))," ",""))</f>
        <v/>
      </c>
      <c r="BB42" s="23">
        <f>IF(AND(COUNT($E42),N(BB$2)=N($E42)),$E42,IF(AND(COUNT($E42),N(BB$2)&gt;=N($G$2),N(BB$2)&lt;N($E42))," ",""))</f>
        <v/>
      </c>
      <c r="BC42" s="23">
        <f>IF(AND(COUNT($E42),N(BC$2)=N($E42)),$E42,IF(AND(COUNT($E42),N(BC$2)&gt;=N($G$2),N(BC$2)&lt;N($E42))," ",""))</f>
        <v/>
      </c>
      <c r="BD42" s="23">
        <f>IF(AND(COUNT($E42),N(BD$2)=N($E42)),$E42,IF(AND(COUNT($E42),N(BD$2)&gt;=N($G$2),N(BD$2)&lt;N($E42))," ",""))</f>
        <v/>
      </c>
      <c r="BE42" s="23">
        <f>IF(AND(COUNT($E42),N(BE$2)=N($E42)),$E42,IF(AND(COUNT($E42),N(BE$2)&gt;=N($G$2),N(BE$2)&lt;N($E42))," ",""))</f>
        <v/>
      </c>
      <c r="BF42" s="23">
        <f>IF(AND(COUNT($E42),N(BF$2)=N($E42)),$E42,IF(AND(COUNT($E42),N(BF$2)&gt;=N($G$2),N(BF$2)&lt;N($E42))," ",""))</f>
        <v/>
      </c>
      <c r="BG42" s="23">
        <f>IF(AND(COUNT($E42),N(BG$2)=N($E42)),$E42,IF(AND(COUNT($E42),N(BG$2)&gt;=N($G$2),N(BG$2)&lt;N($E42))," ",""))</f>
        <v/>
      </c>
      <c r="BH42" s="23">
        <f>IF(AND(COUNT($E42),N(BH$2)=N($E42)),$E42,IF(AND(COUNT($E42),N(BH$2)&gt;=N($G$2),N(BH$2)&lt;N($E42))," ",""))</f>
        <v/>
      </c>
      <c r="BI42" s="23">
        <f>IF(AND(COUNT($E42),N(BI$2)=N($E42)),$E42,IF(AND(COUNT($E42),N(BI$2)&gt;=N($G$2),N(BI$2)&lt;N($E42))," ",""))</f>
        <v/>
      </c>
      <c r="BJ42" s="23">
        <f>IF(AND(COUNT($E42),N(BJ$2)=N($E42)),$E42,IF(AND(COUNT($E42),N(BJ$2)&gt;=N($G$2),N(BJ$2)&lt;N($E42))," ",""))</f>
        <v/>
      </c>
      <c r="BK42" s="23">
        <f>IF(AND(COUNT($E42),N(BK$2)=N($E42)),$E42,IF(AND(COUNT($E42),N(BK$2)&gt;=N($G$2),N(BK$2)&lt;N($E42))," ",""))</f>
        <v/>
      </c>
      <c r="BL42" s="23">
        <f>IF(AND(COUNT($E42),N(BL$2)=N($E42)),$E42,IF(AND(COUNT($E42),N(BL$2)&gt;=N($G$2),N(BL$2)&lt;N($E42))," ",""))</f>
        <v/>
      </c>
      <c r="BM42" s="23">
        <f>IF(AND(COUNT($E42),N(BM$2)=N($E42)),$E42,IF(AND(COUNT($E42),N(BM$2)&gt;=N($G$2),N(BM$2)&lt;N($E42))," ",""))</f>
        <v/>
      </c>
      <c r="BN42" s="23">
        <f>IF(AND(COUNT($E42),N(BN$2)=N($E42)),$E42,IF(AND(COUNT($E42),N(BN$2)&gt;=N($G$2),N(BN$2)&lt;N($E42))," ",""))</f>
        <v/>
      </c>
      <c r="BO42" s="23">
        <f>IF(AND(COUNT($E42),N(BO$2)=N($E42)),$E42,IF(AND(COUNT($E42),N(BO$2)&gt;=N($G$2),N(BO$2)&lt;N($E42))," ",""))</f>
        <v/>
      </c>
      <c r="BP42" s="23">
        <f>IF(AND(COUNT($E42),N(BP$2)=N($E42)),$E42,IF(AND(COUNT($E42),N(BP$2)&gt;=N($G$2),N(BP$2)&lt;N($E42))," ",""))</f>
        <v/>
      </c>
      <c r="BQ42" s="23">
        <f>IF(AND(COUNT($E42),N(BQ$2)=N($E42)),$E42,IF(AND(COUNT($E42),N(BQ$2)&gt;=N($G$2),N(BQ$2)&lt;N($E42))," ",""))</f>
        <v/>
      </c>
      <c r="BR42" s="23">
        <f>IF(AND(COUNT($E42),N(BR$2)=N($E42)),$E42,IF(AND(COUNT($E42),N(BR$2)&gt;=N($G$2),N(BR$2)&lt;N($E42))," ",""))</f>
        <v/>
      </c>
      <c r="BS42" s="23">
        <f>IF(AND(COUNT($E42),N(BS$2)=N($E42)),$E42,IF(AND(COUNT($E42),N(BS$2)&gt;=N($G$2),N(BS$2)&lt;N($E42))," ",""))</f>
        <v/>
      </c>
    </row>
    <row r="43" ht="20" customHeight="1">
      <c r="A43" s="21" t="inlineStr">
        <is>
          <t>预估</t>
        </is>
      </c>
      <c r="B43" s="21" t="inlineStr">
        <is>
          <t>第一期</t>
        </is>
      </c>
      <c r="C43" s="22" t="inlineStr">
        <is>
          <t>PAB115·排针机安装调试</t>
        </is>
      </c>
      <c r="D43" s="23">
        <f>'时间节点计划表'!E22</f>
        <v/>
      </c>
      <c r="E43" s="23">
        <f>IF(COUNT('时间节点计划表'!F22),'时间节点计划表'!F22,"")</f>
        <v/>
      </c>
      <c r="F43" s="24" t="inlineStr"/>
      <c r="G43" s="25">
        <f>D43</f>
        <v/>
      </c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  <c r="X43" s="26" t="n"/>
      <c r="Y43" s="26" t="n"/>
      <c r="Z43" s="26" t="n"/>
      <c r="AA43" s="26" t="n"/>
      <c r="AB43" s="26" t="n"/>
      <c r="AC43" s="26" t="n"/>
      <c r="AD43" s="26" t="n"/>
      <c r="AE43" s="26" t="n"/>
      <c r="AF43" s="26" t="n"/>
      <c r="AG43" s="26" t="n"/>
      <c r="AH43" s="26" t="n"/>
      <c r="AI43" s="26" t="n"/>
      <c r="AJ43" s="26" t="n"/>
      <c r="AK43" s="26" t="n"/>
      <c r="AL43" s="26" t="n"/>
      <c r="AM43" s="26" t="n"/>
      <c r="AN43" s="26" t="n"/>
      <c r="AO43" s="26" t="n"/>
      <c r="AP43" s="26" t="n"/>
      <c r="AQ43" s="26" t="n"/>
      <c r="AR43" s="26" t="n"/>
      <c r="AS43" s="26" t="n"/>
      <c r="AT43" s="26" t="n"/>
      <c r="AU43" s="26" t="n"/>
      <c r="AV43" s="26" t="n"/>
      <c r="AW43" s="26" t="n"/>
      <c r="AX43" s="26" t="n"/>
      <c r="AY43" s="26" t="n"/>
      <c r="AZ43" s="26" t="n"/>
      <c r="BA43" s="26" t="n"/>
      <c r="BB43" s="26" t="n"/>
      <c r="BC43" s="26" t="n"/>
      <c r="BD43" s="27" t="n"/>
      <c r="BE43" s="28" t="n"/>
      <c r="BF43" s="28" t="n"/>
      <c r="BG43" s="28" t="n"/>
      <c r="BH43" s="28" t="n"/>
      <c r="BI43" s="28" t="n"/>
      <c r="BJ43" s="28" t="n"/>
      <c r="BK43" s="28" t="n"/>
      <c r="BL43" s="28" t="n"/>
      <c r="BM43" s="28" t="n"/>
      <c r="BN43" s="28" t="n"/>
      <c r="BO43" s="28" t="n"/>
      <c r="BP43" s="28" t="n"/>
      <c r="BQ43" s="28" t="n"/>
      <c r="BR43" s="28" t="n"/>
      <c r="BS43" s="28" t="n"/>
    </row>
    <row r="44" ht="20" customHeight="1">
      <c r="A44" s="29" t="inlineStr">
        <is>
          <t>实际</t>
        </is>
      </c>
      <c r="B44" s="29" t="inlineStr">
        <is>
          <t>第一期</t>
        </is>
      </c>
      <c r="C44" s="30" t="inlineStr">
        <is>
          <t>PAB115·排针机安装调试</t>
        </is>
      </c>
      <c r="D44" s="31">
        <f>'时间节点计划表'!E22</f>
        <v/>
      </c>
      <c r="E44" s="31">
        <f>IF(COUNT('时间节点计划表'!F22),'时间节点计划表'!F22,"")</f>
        <v/>
      </c>
      <c r="F44" s="32">
        <f>IF(OR(D44="",E44=""),"待填",E44-D44)</f>
        <v/>
      </c>
      <c r="G44" s="23">
        <f>IF(AND(COUNT($E44),N(G$2)=N($E44)),$E44,IF(AND(COUNT($E44),N(G$2)&gt;=N($G$2),N(G$2)&lt;N($E44))," ",""))</f>
        <v/>
      </c>
      <c r="H44" s="23">
        <f>IF(AND(COUNT($E44),N(H$2)=N($E44)),$E44,IF(AND(COUNT($E44),N(H$2)&gt;=N($G$2),N(H$2)&lt;N($E44))," ",""))</f>
        <v/>
      </c>
      <c r="I44" s="23">
        <f>IF(AND(COUNT($E44),N(I$2)=N($E44)),$E44,IF(AND(COUNT($E44),N(I$2)&gt;=N($G$2),N(I$2)&lt;N($E44))," ",""))</f>
        <v/>
      </c>
      <c r="J44" s="23">
        <f>IF(AND(COUNT($E44),N(J$2)=N($E44)),$E44,IF(AND(COUNT($E44),N(J$2)&gt;=N($G$2),N(J$2)&lt;N($E44))," ",""))</f>
        <v/>
      </c>
      <c r="K44" s="23">
        <f>IF(AND(COUNT($E44),N(K$2)=N($E44)),$E44,IF(AND(COUNT($E44),N(K$2)&gt;=N($G$2),N(K$2)&lt;N($E44))," ",""))</f>
        <v/>
      </c>
      <c r="L44" s="23">
        <f>IF(AND(COUNT($E44),N(L$2)=N($E44)),$E44,IF(AND(COUNT($E44),N(L$2)&gt;=N($G$2),N(L$2)&lt;N($E44))," ",""))</f>
        <v/>
      </c>
      <c r="M44" s="23">
        <f>IF(AND(COUNT($E44),N(M$2)=N($E44)),$E44,IF(AND(COUNT($E44),N(M$2)&gt;=N($G$2),N(M$2)&lt;N($E44))," ",""))</f>
        <v/>
      </c>
      <c r="N44" s="23">
        <f>IF(AND(COUNT($E44),N(N$2)=N($E44)),$E44,IF(AND(COUNT($E44),N(N$2)&gt;=N($G$2),N(N$2)&lt;N($E44))," ",""))</f>
        <v/>
      </c>
      <c r="O44" s="23">
        <f>IF(AND(COUNT($E44),N(O$2)=N($E44)),$E44,IF(AND(COUNT($E44),N(O$2)&gt;=N($G$2),N(O$2)&lt;N($E44))," ",""))</f>
        <v/>
      </c>
      <c r="P44" s="23">
        <f>IF(AND(COUNT($E44),N(P$2)=N($E44)),$E44,IF(AND(COUNT($E44),N(P$2)&gt;=N($G$2),N(P$2)&lt;N($E44))," ",""))</f>
        <v/>
      </c>
      <c r="Q44" s="23">
        <f>IF(AND(COUNT($E44),N(Q$2)=N($E44)),$E44,IF(AND(COUNT($E44),N(Q$2)&gt;=N($G$2),N(Q$2)&lt;N($E44))," ",""))</f>
        <v/>
      </c>
      <c r="R44" s="23">
        <f>IF(AND(COUNT($E44),N(R$2)=N($E44)),$E44,IF(AND(COUNT($E44),N(R$2)&gt;=N($G$2),N(R$2)&lt;N($E44))," ",""))</f>
        <v/>
      </c>
      <c r="S44" s="23">
        <f>IF(AND(COUNT($E44),N(S$2)=N($E44)),$E44,IF(AND(COUNT($E44),N(S$2)&gt;=N($G$2),N(S$2)&lt;N($E44))," ",""))</f>
        <v/>
      </c>
      <c r="T44" s="23">
        <f>IF(AND(COUNT($E44),N(T$2)=N($E44)),$E44,IF(AND(COUNT($E44),N(T$2)&gt;=N($G$2),N(T$2)&lt;N($E44))," ",""))</f>
        <v/>
      </c>
      <c r="U44" s="23">
        <f>IF(AND(COUNT($E44),N(U$2)=N($E44)),$E44,IF(AND(COUNT($E44),N(U$2)&gt;=N($G$2),N(U$2)&lt;N($E44))," ",""))</f>
        <v/>
      </c>
      <c r="V44" s="23">
        <f>IF(AND(COUNT($E44),N(V$2)=N($E44)),$E44,IF(AND(COUNT($E44),N(V$2)&gt;=N($G$2),N(V$2)&lt;N($E44))," ",""))</f>
        <v/>
      </c>
      <c r="W44" s="23">
        <f>IF(AND(COUNT($E44),N(W$2)=N($E44)),$E44,IF(AND(COUNT($E44),N(W$2)&gt;=N($G$2),N(W$2)&lt;N($E44))," ",""))</f>
        <v/>
      </c>
      <c r="X44" s="23">
        <f>IF(AND(COUNT($E44),N(X$2)=N($E44)),$E44,IF(AND(COUNT($E44),N(X$2)&gt;=N($G$2),N(X$2)&lt;N($E44))," ",""))</f>
        <v/>
      </c>
      <c r="Y44" s="23">
        <f>IF(AND(COUNT($E44),N(Y$2)=N($E44)),$E44,IF(AND(COUNT($E44),N(Y$2)&gt;=N($G$2),N(Y$2)&lt;N($E44))," ",""))</f>
        <v/>
      </c>
      <c r="Z44" s="23">
        <f>IF(AND(COUNT($E44),N(Z$2)=N($E44)),$E44,IF(AND(COUNT($E44),N(Z$2)&gt;=N($G$2),N(Z$2)&lt;N($E44))," ",""))</f>
        <v/>
      </c>
      <c r="AA44" s="23">
        <f>IF(AND(COUNT($E44),N(AA$2)=N($E44)),$E44,IF(AND(COUNT($E44),N(AA$2)&gt;=N($G$2),N(AA$2)&lt;N($E44))," ",""))</f>
        <v/>
      </c>
      <c r="AB44" s="23">
        <f>IF(AND(COUNT($E44),N(AB$2)=N($E44)),$E44,IF(AND(COUNT($E44),N(AB$2)&gt;=N($G$2),N(AB$2)&lt;N($E44))," ",""))</f>
        <v/>
      </c>
      <c r="AC44" s="23">
        <f>IF(AND(COUNT($E44),N(AC$2)=N($E44)),$E44,IF(AND(COUNT($E44),N(AC$2)&gt;=N($G$2),N(AC$2)&lt;N($E44))," ",""))</f>
        <v/>
      </c>
      <c r="AD44" s="23">
        <f>IF(AND(COUNT($E44),N(AD$2)=N($E44)),$E44,IF(AND(COUNT($E44),N(AD$2)&gt;=N($G$2),N(AD$2)&lt;N($E44))," ",""))</f>
        <v/>
      </c>
      <c r="AE44" s="23">
        <f>IF(AND(COUNT($E44),N(AE$2)=N($E44)),$E44,IF(AND(COUNT($E44),N(AE$2)&gt;=N($G$2),N(AE$2)&lt;N($E44))," ",""))</f>
        <v/>
      </c>
      <c r="AF44" s="23">
        <f>IF(AND(COUNT($E44),N(AF$2)=N($E44)),$E44,IF(AND(COUNT($E44),N(AF$2)&gt;=N($G$2),N(AF$2)&lt;N($E44))," ",""))</f>
        <v/>
      </c>
      <c r="AG44" s="23">
        <f>IF(AND(COUNT($E44),N(AG$2)=N($E44)),$E44,IF(AND(COUNT($E44),N(AG$2)&gt;=N($G$2),N(AG$2)&lt;N($E44))," ",""))</f>
        <v/>
      </c>
      <c r="AH44" s="23">
        <f>IF(AND(COUNT($E44),N(AH$2)=N($E44)),$E44,IF(AND(COUNT($E44),N(AH$2)&gt;=N($G$2),N(AH$2)&lt;N($E44))," ",""))</f>
        <v/>
      </c>
      <c r="AI44" s="23">
        <f>IF(AND(COUNT($E44),N(AI$2)=N($E44)),$E44,IF(AND(COUNT($E44),N(AI$2)&gt;=N($G$2),N(AI$2)&lt;N($E44))," ",""))</f>
        <v/>
      </c>
      <c r="AJ44" s="23">
        <f>IF(AND(COUNT($E44),N(AJ$2)=N($E44)),$E44,IF(AND(COUNT($E44),N(AJ$2)&gt;=N($G$2),N(AJ$2)&lt;N($E44))," ",""))</f>
        <v/>
      </c>
      <c r="AK44" s="23">
        <f>IF(AND(COUNT($E44),N(AK$2)=N($E44)),$E44,IF(AND(COUNT($E44),N(AK$2)&gt;=N($G$2),N(AK$2)&lt;N($E44))," ",""))</f>
        <v/>
      </c>
      <c r="AL44" s="23">
        <f>IF(AND(COUNT($E44),N(AL$2)=N($E44)),$E44,IF(AND(COUNT($E44),N(AL$2)&gt;=N($G$2),N(AL$2)&lt;N($E44))," ",""))</f>
        <v/>
      </c>
      <c r="AM44" s="23">
        <f>IF(AND(COUNT($E44),N(AM$2)=N($E44)),$E44,IF(AND(COUNT($E44),N(AM$2)&gt;=N($G$2),N(AM$2)&lt;N($E44))," ",""))</f>
        <v/>
      </c>
      <c r="AN44" s="23">
        <f>IF(AND(COUNT($E44),N(AN$2)=N($E44)),$E44,IF(AND(COUNT($E44),N(AN$2)&gt;=N($G$2),N(AN$2)&lt;N($E44))," ",""))</f>
        <v/>
      </c>
      <c r="AO44" s="23">
        <f>IF(AND(COUNT($E44),N(AO$2)=N($E44)),$E44,IF(AND(COUNT($E44),N(AO$2)&gt;=N($G$2),N(AO$2)&lt;N($E44))," ",""))</f>
        <v/>
      </c>
      <c r="AP44" s="23">
        <f>IF(AND(COUNT($E44),N(AP$2)=N($E44)),$E44,IF(AND(COUNT($E44),N(AP$2)&gt;=N($G$2),N(AP$2)&lt;N($E44))," ",""))</f>
        <v/>
      </c>
      <c r="AQ44" s="23">
        <f>IF(AND(COUNT($E44),N(AQ$2)=N($E44)),$E44,IF(AND(COUNT($E44),N(AQ$2)&gt;=N($G$2),N(AQ$2)&lt;N($E44))," ",""))</f>
        <v/>
      </c>
      <c r="AR44" s="23">
        <f>IF(AND(COUNT($E44),N(AR$2)=N($E44)),$E44,IF(AND(COUNT($E44),N(AR$2)&gt;=N($G$2),N(AR$2)&lt;N($E44))," ",""))</f>
        <v/>
      </c>
      <c r="AS44" s="23">
        <f>IF(AND(COUNT($E44),N(AS$2)=N($E44)),$E44,IF(AND(COUNT($E44),N(AS$2)&gt;=N($G$2),N(AS$2)&lt;N($E44))," ",""))</f>
        <v/>
      </c>
      <c r="AT44" s="23">
        <f>IF(AND(COUNT($E44),N(AT$2)=N($E44)),$E44,IF(AND(COUNT($E44),N(AT$2)&gt;=N($G$2),N(AT$2)&lt;N($E44))," ",""))</f>
        <v/>
      </c>
      <c r="AU44" s="23">
        <f>IF(AND(COUNT($E44),N(AU$2)=N($E44)),$E44,IF(AND(COUNT($E44),N(AU$2)&gt;=N($G$2),N(AU$2)&lt;N($E44))," ",""))</f>
        <v/>
      </c>
      <c r="AV44" s="23">
        <f>IF(AND(COUNT($E44),N(AV$2)=N($E44)),$E44,IF(AND(COUNT($E44),N(AV$2)&gt;=N($G$2),N(AV$2)&lt;N($E44))," ",""))</f>
        <v/>
      </c>
      <c r="AW44" s="23">
        <f>IF(AND(COUNT($E44),N(AW$2)=N($E44)),$E44,IF(AND(COUNT($E44),N(AW$2)&gt;=N($G$2),N(AW$2)&lt;N($E44))," ",""))</f>
        <v/>
      </c>
      <c r="AX44" s="23">
        <f>IF(AND(COUNT($E44),N(AX$2)=N($E44)),$E44,IF(AND(COUNT($E44),N(AX$2)&gt;=N($G$2),N(AX$2)&lt;N($E44))," ",""))</f>
        <v/>
      </c>
      <c r="AY44" s="23">
        <f>IF(AND(COUNT($E44),N(AY$2)=N($E44)),$E44,IF(AND(COUNT($E44),N(AY$2)&gt;=N($G$2),N(AY$2)&lt;N($E44))," ",""))</f>
        <v/>
      </c>
      <c r="AZ44" s="23">
        <f>IF(AND(COUNT($E44),N(AZ$2)=N($E44)),$E44,IF(AND(COUNT($E44),N(AZ$2)&gt;=N($G$2),N(AZ$2)&lt;N($E44))," ",""))</f>
        <v/>
      </c>
      <c r="BA44" s="23">
        <f>IF(AND(COUNT($E44),N(BA$2)=N($E44)),$E44,IF(AND(COUNT($E44),N(BA$2)&gt;=N($G$2),N(BA$2)&lt;N($E44))," ",""))</f>
        <v/>
      </c>
      <c r="BB44" s="23">
        <f>IF(AND(COUNT($E44),N(BB$2)=N($E44)),$E44,IF(AND(COUNT($E44),N(BB$2)&gt;=N($G$2),N(BB$2)&lt;N($E44))," ",""))</f>
        <v/>
      </c>
      <c r="BC44" s="23">
        <f>IF(AND(COUNT($E44),N(BC$2)=N($E44)),$E44,IF(AND(COUNT($E44),N(BC$2)&gt;=N($G$2),N(BC$2)&lt;N($E44))," ",""))</f>
        <v/>
      </c>
      <c r="BD44" s="23">
        <f>IF(AND(COUNT($E44),N(BD$2)=N($E44)),$E44,IF(AND(COUNT($E44),N(BD$2)&gt;=N($G$2),N(BD$2)&lt;N($E44))," ",""))</f>
        <v/>
      </c>
      <c r="BE44" s="23">
        <f>IF(AND(COUNT($E44),N(BE$2)=N($E44)),$E44,IF(AND(COUNT($E44),N(BE$2)&gt;=N($G$2),N(BE$2)&lt;N($E44))," ",""))</f>
        <v/>
      </c>
      <c r="BF44" s="23">
        <f>IF(AND(COUNT($E44),N(BF$2)=N($E44)),$E44,IF(AND(COUNT($E44),N(BF$2)&gt;=N($G$2),N(BF$2)&lt;N($E44))," ",""))</f>
        <v/>
      </c>
      <c r="BG44" s="23">
        <f>IF(AND(COUNT($E44),N(BG$2)=N($E44)),$E44,IF(AND(COUNT($E44),N(BG$2)&gt;=N($G$2),N(BG$2)&lt;N($E44))," ",""))</f>
        <v/>
      </c>
      <c r="BH44" s="23">
        <f>IF(AND(COUNT($E44),N(BH$2)=N($E44)),$E44,IF(AND(COUNT($E44),N(BH$2)&gt;=N($G$2),N(BH$2)&lt;N($E44))," ",""))</f>
        <v/>
      </c>
      <c r="BI44" s="23">
        <f>IF(AND(COUNT($E44),N(BI$2)=N($E44)),$E44,IF(AND(COUNT($E44),N(BI$2)&gt;=N($G$2),N(BI$2)&lt;N($E44))," ",""))</f>
        <v/>
      </c>
      <c r="BJ44" s="23">
        <f>IF(AND(COUNT($E44),N(BJ$2)=N($E44)),$E44,IF(AND(COUNT($E44),N(BJ$2)&gt;=N($G$2),N(BJ$2)&lt;N($E44))," ",""))</f>
        <v/>
      </c>
      <c r="BK44" s="23">
        <f>IF(AND(COUNT($E44),N(BK$2)=N($E44)),$E44,IF(AND(COUNT($E44),N(BK$2)&gt;=N($G$2),N(BK$2)&lt;N($E44))," ",""))</f>
        <v/>
      </c>
      <c r="BL44" s="23">
        <f>IF(AND(COUNT($E44),N(BL$2)=N($E44)),$E44,IF(AND(COUNT($E44),N(BL$2)&gt;=N($G$2),N(BL$2)&lt;N($E44))," ",""))</f>
        <v/>
      </c>
      <c r="BM44" s="23">
        <f>IF(AND(COUNT($E44),N(BM$2)=N($E44)),$E44,IF(AND(COUNT($E44),N(BM$2)&gt;=N($G$2),N(BM$2)&lt;N($E44))," ",""))</f>
        <v/>
      </c>
      <c r="BN44" s="23">
        <f>IF(AND(COUNT($E44),N(BN$2)=N($E44)),$E44,IF(AND(COUNT($E44),N(BN$2)&gt;=N($G$2),N(BN$2)&lt;N($E44))," ",""))</f>
        <v/>
      </c>
      <c r="BO44" s="23">
        <f>IF(AND(COUNT($E44),N(BO$2)=N($E44)),$E44,IF(AND(COUNT($E44),N(BO$2)&gt;=N($G$2),N(BO$2)&lt;N($E44))," ",""))</f>
        <v/>
      </c>
      <c r="BP44" s="23">
        <f>IF(AND(COUNT($E44),N(BP$2)=N($E44)),$E44,IF(AND(COUNT($E44),N(BP$2)&gt;=N($G$2),N(BP$2)&lt;N($E44))," ",""))</f>
        <v/>
      </c>
      <c r="BQ44" s="23">
        <f>IF(AND(COUNT($E44),N(BQ$2)=N($E44)),$E44,IF(AND(COUNT($E44),N(BQ$2)&gt;=N($G$2),N(BQ$2)&lt;N($E44))," ",""))</f>
        <v/>
      </c>
      <c r="BR44" s="23">
        <f>IF(AND(COUNT($E44),N(BR$2)=N($E44)),$E44,IF(AND(COUNT($E44),N(BR$2)&gt;=N($G$2),N(BR$2)&lt;N($E44))," ",""))</f>
        <v/>
      </c>
      <c r="BS44" s="23">
        <f>IF(AND(COUNT($E44),N(BS$2)=N($E44)),$E44,IF(AND(COUNT($E44),N(BS$2)&gt;=N($G$2),N(BS$2)&lt;N($E44))," ",""))</f>
        <v/>
      </c>
    </row>
    <row r="45" ht="20" customHeight="1">
      <c r="A45" s="21" t="inlineStr">
        <is>
          <t>预估</t>
        </is>
      </c>
      <c r="B45" s="21" t="inlineStr">
        <is>
          <t>第一期</t>
        </is>
      </c>
      <c r="C45" s="22" t="inlineStr">
        <is>
          <t>PAB115·单级样机</t>
        </is>
      </c>
      <c r="D45" s="23">
        <f>'时间节点计划表'!E23</f>
        <v/>
      </c>
      <c r="E45" s="23">
        <f>IF(COUNT('时间节点计划表'!F23),'时间节点计划表'!F23,"")</f>
        <v/>
      </c>
      <c r="F45" s="24" t="inlineStr"/>
      <c r="G45" s="25">
        <f>D45</f>
        <v/>
      </c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  <c r="X45" s="26" t="n"/>
      <c r="Y45" s="26" t="n"/>
      <c r="Z45" s="26" t="n"/>
      <c r="AA45" s="26" t="n"/>
      <c r="AB45" s="26" t="n"/>
      <c r="AC45" s="26" t="n"/>
      <c r="AD45" s="26" t="n"/>
      <c r="AE45" s="26" t="n"/>
      <c r="AF45" s="26" t="n"/>
      <c r="AG45" s="26" t="n"/>
      <c r="AH45" s="26" t="n"/>
      <c r="AI45" s="26" t="n"/>
      <c r="AJ45" s="26" t="n"/>
      <c r="AK45" s="26" t="n"/>
      <c r="AL45" s="26" t="n"/>
      <c r="AM45" s="26" t="n"/>
      <c r="AN45" s="26" t="n"/>
      <c r="AO45" s="26" t="n"/>
      <c r="AP45" s="26" t="n"/>
      <c r="AQ45" s="26" t="n"/>
      <c r="AR45" s="26" t="n"/>
      <c r="AS45" s="26" t="n"/>
      <c r="AT45" s="26" t="n"/>
      <c r="AU45" s="26" t="n"/>
      <c r="AV45" s="26" t="n"/>
      <c r="AW45" s="26" t="n"/>
      <c r="AX45" s="26" t="n"/>
      <c r="AY45" s="26" t="n"/>
      <c r="AZ45" s="26" t="n"/>
      <c r="BA45" s="26" t="n"/>
      <c r="BB45" s="26" t="n"/>
      <c r="BC45" s="26" t="n"/>
      <c r="BD45" s="26" t="n"/>
      <c r="BE45" s="27" t="n"/>
      <c r="BF45" s="28" t="n"/>
      <c r="BG45" s="28" t="n"/>
      <c r="BH45" s="28" t="n"/>
      <c r="BI45" s="28" t="n"/>
      <c r="BJ45" s="28" t="n"/>
      <c r="BK45" s="28" t="n"/>
      <c r="BL45" s="28" t="n"/>
      <c r="BM45" s="28" t="n"/>
      <c r="BN45" s="28" t="n"/>
      <c r="BO45" s="28" t="n"/>
      <c r="BP45" s="28" t="n"/>
      <c r="BQ45" s="28" t="n"/>
      <c r="BR45" s="28" t="n"/>
      <c r="BS45" s="28" t="n"/>
    </row>
    <row r="46" ht="20" customHeight="1">
      <c r="A46" s="29" t="inlineStr">
        <is>
          <t>实际</t>
        </is>
      </c>
      <c r="B46" s="29" t="inlineStr">
        <is>
          <t>第一期</t>
        </is>
      </c>
      <c r="C46" s="30" t="inlineStr">
        <is>
          <t>PAB115·单级样机</t>
        </is>
      </c>
      <c r="D46" s="31">
        <f>'时间节点计划表'!E23</f>
        <v/>
      </c>
      <c r="E46" s="31">
        <f>IF(COUNT('时间节点计划表'!F23),'时间节点计划表'!F23,"")</f>
        <v/>
      </c>
      <c r="F46" s="32">
        <f>IF(OR(D46="",E46=""),"待填",E46-D46)</f>
        <v/>
      </c>
      <c r="G46" s="23">
        <f>IF(AND(COUNT($E46),N(G$2)=N($E46)),$E46,IF(AND(COUNT($E46),N(G$2)&gt;=N($G$2),N(G$2)&lt;N($E46))," ",""))</f>
        <v/>
      </c>
      <c r="H46" s="23">
        <f>IF(AND(COUNT($E46),N(H$2)=N($E46)),$E46,IF(AND(COUNT($E46),N(H$2)&gt;=N($G$2),N(H$2)&lt;N($E46))," ",""))</f>
        <v/>
      </c>
      <c r="I46" s="23">
        <f>IF(AND(COUNT($E46),N(I$2)=N($E46)),$E46,IF(AND(COUNT($E46),N(I$2)&gt;=N($G$2),N(I$2)&lt;N($E46))," ",""))</f>
        <v/>
      </c>
      <c r="J46" s="23">
        <f>IF(AND(COUNT($E46),N(J$2)=N($E46)),$E46,IF(AND(COUNT($E46),N(J$2)&gt;=N($G$2),N(J$2)&lt;N($E46))," ",""))</f>
        <v/>
      </c>
      <c r="K46" s="23">
        <f>IF(AND(COUNT($E46),N(K$2)=N($E46)),$E46,IF(AND(COUNT($E46),N(K$2)&gt;=N($G$2),N(K$2)&lt;N($E46))," ",""))</f>
        <v/>
      </c>
      <c r="L46" s="23">
        <f>IF(AND(COUNT($E46),N(L$2)=N($E46)),$E46,IF(AND(COUNT($E46),N(L$2)&gt;=N($G$2),N(L$2)&lt;N($E46))," ",""))</f>
        <v/>
      </c>
      <c r="M46" s="23">
        <f>IF(AND(COUNT($E46),N(M$2)=N($E46)),$E46,IF(AND(COUNT($E46),N(M$2)&gt;=N($G$2),N(M$2)&lt;N($E46))," ",""))</f>
        <v/>
      </c>
      <c r="N46" s="23">
        <f>IF(AND(COUNT($E46),N(N$2)=N($E46)),$E46,IF(AND(COUNT($E46),N(N$2)&gt;=N($G$2),N(N$2)&lt;N($E46))," ",""))</f>
        <v/>
      </c>
      <c r="O46" s="23">
        <f>IF(AND(COUNT($E46),N(O$2)=N($E46)),$E46,IF(AND(COUNT($E46),N(O$2)&gt;=N($G$2),N(O$2)&lt;N($E46))," ",""))</f>
        <v/>
      </c>
      <c r="P46" s="23">
        <f>IF(AND(COUNT($E46),N(P$2)=N($E46)),$E46,IF(AND(COUNT($E46),N(P$2)&gt;=N($G$2),N(P$2)&lt;N($E46))," ",""))</f>
        <v/>
      </c>
      <c r="Q46" s="23">
        <f>IF(AND(COUNT($E46),N(Q$2)=N($E46)),$E46,IF(AND(COUNT($E46),N(Q$2)&gt;=N($G$2),N(Q$2)&lt;N($E46))," ",""))</f>
        <v/>
      </c>
      <c r="R46" s="23">
        <f>IF(AND(COUNT($E46),N(R$2)=N($E46)),$E46,IF(AND(COUNT($E46),N(R$2)&gt;=N($G$2),N(R$2)&lt;N($E46))," ",""))</f>
        <v/>
      </c>
      <c r="S46" s="23">
        <f>IF(AND(COUNT($E46),N(S$2)=N($E46)),$E46,IF(AND(COUNT($E46),N(S$2)&gt;=N($G$2),N(S$2)&lt;N($E46))," ",""))</f>
        <v/>
      </c>
      <c r="T46" s="23">
        <f>IF(AND(COUNT($E46),N(T$2)=N($E46)),$E46,IF(AND(COUNT($E46),N(T$2)&gt;=N($G$2),N(T$2)&lt;N($E46))," ",""))</f>
        <v/>
      </c>
      <c r="U46" s="23">
        <f>IF(AND(COUNT($E46),N(U$2)=N($E46)),$E46,IF(AND(COUNT($E46),N(U$2)&gt;=N($G$2),N(U$2)&lt;N($E46))," ",""))</f>
        <v/>
      </c>
      <c r="V46" s="23">
        <f>IF(AND(COUNT($E46),N(V$2)=N($E46)),$E46,IF(AND(COUNT($E46),N(V$2)&gt;=N($G$2),N(V$2)&lt;N($E46))," ",""))</f>
        <v/>
      </c>
      <c r="W46" s="23">
        <f>IF(AND(COUNT($E46),N(W$2)=N($E46)),$E46,IF(AND(COUNT($E46),N(W$2)&gt;=N($G$2),N(W$2)&lt;N($E46))," ",""))</f>
        <v/>
      </c>
      <c r="X46" s="23">
        <f>IF(AND(COUNT($E46),N(X$2)=N($E46)),$E46,IF(AND(COUNT($E46),N(X$2)&gt;=N($G$2),N(X$2)&lt;N($E46))," ",""))</f>
        <v/>
      </c>
      <c r="Y46" s="23">
        <f>IF(AND(COUNT($E46),N(Y$2)=N($E46)),$E46,IF(AND(COUNT($E46),N(Y$2)&gt;=N($G$2),N(Y$2)&lt;N($E46))," ",""))</f>
        <v/>
      </c>
      <c r="Z46" s="23">
        <f>IF(AND(COUNT($E46),N(Z$2)=N($E46)),$E46,IF(AND(COUNT($E46),N(Z$2)&gt;=N($G$2),N(Z$2)&lt;N($E46))," ",""))</f>
        <v/>
      </c>
      <c r="AA46" s="23">
        <f>IF(AND(COUNT($E46),N(AA$2)=N($E46)),$E46,IF(AND(COUNT($E46),N(AA$2)&gt;=N($G$2),N(AA$2)&lt;N($E46))," ",""))</f>
        <v/>
      </c>
      <c r="AB46" s="23">
        <f>IF(AND(COUNT($E46),N(AB$2)=N($E46)),$E46,IF(AND(COUNT($E46),N(AB$2)&gt;=N($G$2),N(AB$2)&lt;N($E46))," ",""))</f>
        <v/>
      </c>
      <c r="AC46" s="23">
        <f>IF(AND(COUNT($E46),N(AC$2)=N($E46)),$E46,IF(AND(COUNT($E46),N(AC$2)&gt;=N($G$2),N(AC$2)&lt;N($E46))," ",""))</f>
        <v/>
      </c>
      <c r="AD46" s="23">
        <f>IF(AND(COUNT($E46),N(AD$2)=N($E46)),$E46,IF(AND(COUNT($E46),N(AD$2)&gt;=N($G$2),N(AD$2)&lt;N($E46))," ",""))</f>
        <v/>
      </c>
      <c r="AE46" s="23">
        <f>IF(AND(COUNT($E46),N(AE$2)=N($E46)),$E46,IF(AND(COUNT($E46),N(AE$2)&gt;=N($G$2),N(AE$2)&lt;N($E46))," ",""))</f>
        <v/>
      </c>
      <c r="AF46" s="23">
        <f>IF(AND(COUNT($E46),N(AF$2)=N($E46)),$E46,IF(AND(COUNT($E46),N(AF$2)&gt;=N($G$2),N(AF$2)&lt;N($E46))," ",""))</f>
        <v/>
      </c>
      <c r="AG46" s="23">
        <f>IF(AND(COUNT($E46),N(AG$2)=N($E46)),$E46,IF(AND(COUNT($E46),N(AG$2)&gt;=N($G$2),N(AG$2)&lt;N($E46))," ",""))</f>
        <v/>
      </c>
      <c r="AH46" s="23">
        <f>IF(AND(COUNT($E46),N(AH$2)=N($E46)),$E46,IF(AND(COUNT($E46),N(AH$2)&gt;=N($G$2),N(AH$2)&lt;N($E46))," ",""))</f>
        <v/>
      </c>
      <c r="AI46" s="23">
        <f>IF(AND(COUNT($E46),N(AI$2)=N($E46)),$E46,IF(AND(COUNT($E46),N(AI$2)&gt;=N($G$2),N(AI$2)&lt;N($E46))," ",""))</f>
        <v/>
      </c>
      <c r="AJ46" s="23">
        <f>IF(AND(COUNT($E46),N(AJ$2)=N($E46)),$E46,IF(AND(COUNT($E46),N(AJ$2)&gt;=N($G$2),N(AJ$2)&lt;N($E46))," ",""))</f>
        <v/>
      </c>
      <c r="AK46" s="23">
        <f>IF(AND(COUNT($E46),N(AK$2)=N($E46)),$E46,IF(AND(COUNT($E46),N(AK$2)&gt;=N($G$2),N(AK$2)&lt;N($E46))," ",""))</f>
        <v/>
      </c>
      <c r="AL46" s="23">
        <f>IF(AND(COUNT($E46),N(AL$2)=N($E46)),$E46,IF(AND(COUNT($E46),N(AL$2)&gt;=N($G$2),N(AL$2)&lt;N($E46))," ",""))</f>
        <v/>
      </c>
      <c r="AM46" s="23">
        <f>IF(AND(COUNT($E46),N(AM$2)=N($E46)),$E46,IF(AND(COUNT($E46),N(AM$2)&gt;=N($G$2),N(AM$2)&lt;N($E46))," ",""))</f>
        <v/>
      </c>
      <c r="AN46" s="23">
        <f>IF(AND(COUNT($E46),N(AN$2)=N($E46)),$E46,IF(AND(COUNT($E46),N(AN$2)&gt;=N($G$2),N(AN$2)&lt;N($E46))," ",""))</f>
        <v/>
      </c>
      <c r="AO46" s="23">
        <f>IF(AND(COUNT($E46),N(AO$2)=N($E46)),$E46,IF(AND(COUNT($E46),N(AO$2)&gt;=N($G$2),N(AO$2)&lt;N($E46))," ",""))</f>
        <v/>
      </c>
      <c r="AP46" s="23">
        <f>IF(AND(COUNT($E46),N(AP$2)=N($E46)),$E46,IF(AND(COUNT($E46),N(AP$2)&gt;=N($G$2),N(AP$2)&lt;N($E46))," ",""))</f>
        <v/>
      </c>
      <c r="AQ46" s="23">
        <f>IF(AND(COUNT($E46),N(AQ$2)=N($E46)),$E46,IF(AND(COUNT($E46),N(AQ$2)&gt;=N($G$2),N(AQ$2)&lt;N($E46))," ",""))</f>
        <v/>
      </c>
      <c r="AR46" s="23">
        <f>IF(AND(COUNT($E46),N(AR$2)=N($E46)),$E46,IF(AND(COUNT($E46),N(AR$2)&gt;=N($G$2),N(AR$2)&lt;N($E46))," ",""))</f>
        <v/>
      </c>
      <c r="AS46" s="23">
        <f>IF(AND(COUNT($E46),N(AS$2)=N($E46)),$E46,IF(AND(COUNT($E46),N(AS$2)&gt;=N($G$2),N(AS$2)&lt;N($E46))," ",""))</f>
        <v/>
      </c>
      <c r="AT46" s="23">
        <f>IF(AND(COUNT($E46),N(AT$2)=N($E46)),$E46,IF(AND(COUNT($E46),N(AT$2)&gt;=N($G$2),N(AT$2)&lt;N($E46))," ",""))</f>
        <v/>
      </c>
      <c r="AU46" s="23">
        <f>IF(AND(COUNT($E46),N(AU$2)=N($E46)),$E46,IF(AND(COUNT($E46),N(AU$2)&gt;=N($G$2),N(AU$2)&lt;N($E46))," ",""))</f>
        <v/>
      </c>
      <c r="AV46" s="23">
        <f>IF(AND(COUNT($E46),N(AV$2)=N($E46)),$E46,IF(AND(COUNT($E46),N(AV$2)&gt;=N($G$2),N(AV$2)&lt;N($E46))," ",""))</f>
        <v/>
      </c>
      <c r="AW46" s="23">
        <f>IF(AND(COUNT($E46),N(AW$2)=N($E46)),$E46,IF(AND(COUNT($E46),N(AW$2)&gt;=N($G$2),N(AW$2)&lt;N($E46))," ",""))</f>
        <v/>
      </c>
      <c r="AX46" s="23">
        <f>IF(AND(COUNT($E46),N(AX$2)=N($E46)),$E46,IF(AND(COUNT($E46),N(AX$2)&gt;=N($G$2),N(AX$2)&lt;N($E46))," ",""))</f>
        <v/>
      </c>
      <c r="AY46" s="23">
        <f>IF(AND(COUNT($E46),N(AY$2)=N($E46)),$E46,IF(AND(COUNT($E46),N(AY$2)&gt;=N($G$2),N(AY$2)&lt;N($E46))," ",""))</f>
        <v/>
      </c>
      <c r="AZ46" s="23">
        <f>IF(AND(COUNT($E46),N(AZ$2)=N($E46)),$E46,IF(AND(COUNT($E46),N(AZ$2)&gt;=N($G$2),N(AZ$2)&lt;N($E46))," ",""))</f>
        <v/>
      </c>
      <c r="BA46" s="23">
        <f>IF(AND(COUNT($E46),N(BA$2)=N($E46)),$E46,IF(AND(COUNT($E46),N(BA$2)&gt;=N($G$2),N(BA$2)&lt;N($E46))," ",""))</f>
        <v/>
      </c>
      <c r="BB46" s="23">
        <f>IF(AND(COUNT($E46),N(BB$2)=N($E46)),$E46,IF(AND(COUNT($E46),N(BB$2)&gt;=N($G$2),N(BB$2)&lt;N($E46))," ",""))</f>
        <v/>
      </c>
      <c r="BC46" s="23">
        <f>IF(AND(COUNT($E46),N(BC$2)=N($E46)),$E46,IF(AND(COUNT($E46),N(BC$2)&gt;=N($G$2),N(BC$2)&lt;N($E46))," ",""))</f>
        <v/>
      </c>
      <c r="BD46" s="23">
        <f>IF(AND(COUNT($E46),N(BD$2)=N($E46)),$E46,IF(AND(COUNT($E46),N(BD$2)&gt;=N($G$2),N(BD$2)&lt;N($E46))," ",""))</f>
        <v/>
      </c>
      <c r="BE46" s="23">
        <f>IF(AND(COUNT($E46),N(BE$2)=N($E46)),$E46,IF(AND(COUNT($E46),N(BE$2)&gt;=N($G$2),N(BE$2)&lt;N($E46))," ",""))</f>
        <v/>
      </c>
      <c r="BF46" s="23">
        <f>IF(AND(COUNT($E46),N(BF$2)=N($E46)),$E46,IF(AND(COUNT($E46),N(BF$2)&gt;=N($G$2),N(BF$2)&lt;N($E46))," ",""))</f>
        <v/>
      </c>
      <c r="BG46" s="23">
        <f>IF(AND(COUNT($E46),N(BG$2)=N($E46)),$E46,IF(AND(COUNT($E46),N(BG$2)&gt;=N($G$2),N(BG$2)&lt;N($E46))," ",""))</f>
        <v/>
      </c>
      <c r="BH46" s="23">
        <f>IF(AND(COUNT($E46),N(BH$2)=N($E46)),$E46,IF(AND(COUNT($E46),N(BH$2)&gt;=N($G$2),N(BH$2)&lt;N($E46))," ",""))</f>
        <v/>
      </c>
      <c r="BI46" s="23">
        <f>IF(AND(COUNT($E46),N(BI$2)=N($E46)),$E46,IF(AND(COUNT($E46),N(BI$2)&gt;=N($G$2),N(BI$2)&lt;N($E46))," ",""))</f>
        <v/>
      </c>
      <c r="BJ46" s="23">
        <f>IF(AND(COUNT($E46),N(BJ$2)=N($E46)),$E46,IF(AND(COUNT($E46),N(BJ$2)&gt;=N($G$2),N(BJ$2)&lt;N($E46))," ",""))</f>
        <v/>
      </c>
      <c r="BK46" s="23">
        <f>IF(AND(COUNT($E46),N(BK$2)=N($E46)),$E46,IF(AND(COUNT($E46),N(BK$2)&gt;=N($G$2),N(BK$2)&lt;N($E46))," ",""))</f>
        <v/>
      </c>
      <c r="BL46" s="23">
        <f>IF(AND(COUNT($E46),N(BL$2)=N($E46)),$E46,IF(AND(COUNT($E46),N(BL$2)&gt;=N($G$2),N(BL$2)&lt;N($E46))," ",""))</f>
        <v/>
      </c>
      <c r="BM46" s="23">
        <f>IF(AND(COUNT($E46),N(BM$2)=N($E46)),$E46,IF(AND(COUNT($E46),N(BM$2)&gt;=N($G$2),N(BM$2)&lt;N($E46))," ",""))</f>
        <v/>
      </c>
      <c r="BN46" s="23">
        <f>IF(AND(COUNT($E46),N(BN$2)=N($E46)),$E46,IF(AND(COUNT($E46),N(BN$2)&gt;=N($G$2),N(BN$2)&lt;N($E46))," ",""))</f>
        <v/>
      </c>
      <c r="BO46" s="23">
        <f>IF(AND(COUNT($E46),N(BO$2)=N($E46)),$E46,IF(AND(COUNT($E46),N(BO$2)&gt;=N($G$2),N(BO$2)&lt;N($E46))," ",""))</f>
        <v/>
      </c>
      <c r="BP46" s="23">
        <f>IF(AND(COUNT($E46),N(BP$2)=N($E46)),$E46,IF(AND(COUNT($E46),N(BP$2)&gt;=N($G$2),N(BP$2)&lt;N($E46))," ",""))</f>
        <v/>
      </c>
      <c r="BQ46" s="23">
        <f>IF(AND(COUNT($E46),N(BQ$2)=N($E46)),$E46,IF(AND(COUNT($E46),N(BQ$2)&gt;=N($G$2),N(BQ$2)&lt;N($E46))," ",""))</f>
        <v/>
      </c>
      <c r="BR46" s="23">
        <f>IF(AND(COUNT($E46),N(BR$2)=N($E46)),$E46,IF(AND(COUNT($E46),N(BR$2)&gt;=N($G$2),N(BR$2)&lt;N($E46))," ",""))</f>
        <v/>
      </c>
      <c r="BS46" s="23">
        <f>IF(AND(COUNT($E46),N(BS$2)=N($E46)),$E46,IF(AND(COUNT($E46),N(BS$2)&gt;=N($G$2),N(BS$2)&lt;N($E46))," ",""))</f>
        <v/>
      </c>
    </row>
    <row r="47" ht="20" customHeight="1">
      <c r="A47" s="21" t="inlineStr">
        <is>
          <t>预估</t>
        </is>
      </c>
      <c r="B47" s="21" t="inlineStr">
        <is>
          <t>第一期</t>
        </is>
      </c>
      <c r="C47" s="22" t="inlineStr">
        <is>
          <t>PAB115·双级样机</t>
        </is>
      </c>
      <c r="D47" s="23">
        <f>'时间节点计划表'!E24</f>
        <v/>
      </c>
      <c r="E47" s="23">
        <f>IF(COUNT('时间节点计划表'!F24),'时间节点计划表'!F24,"")</f>
        <v/>
      </c>
      <c r="F47" s="24" t="inlineStr"/>
      <c r="G47" s="25">
        <f>D47</f>
        <v/>
      </c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s="26" t="n"/>
      <c r="Z47" s="26" t="n"/>
      <c r="AA47" s="26" t="n"/>
      <c r="AB47" s="26" t="n"/>
      <c r="AC47" s="26" t="n"/>
      <c r="AD47" s="26" t="n"/>
      <c r="AE47" s="26" t="n"/>
      <c r="AF47" s="26" t="n"/>
      <c r="AG47" s="26" t="n"/>
      <c r="AH47" s="26" t="n"/>
      <c r="AI47" s="26" t="n"/>
      <c r="AJ47" s="26" t="n"/>
      <c r="AK47" s="26" t="n"/>
      <c r="AL47" s="26" t="n"/>
      <c r="AM47" s="26" t="n"/>
      <c r="AN47" s="26" t="n"/>
      <c r="AO47" s="26" t="n"/>
      <c r="AP47" s="26" t="n"/>
      <c r="AQ47" s="26" t="n"/>
      <c r="AR47" s="26" t="n"/>
      <c r="AS47" s="26" t="n"/>
      <c r="AT47" s="26" t="n"/>
      <c r="AU47" s="26" t="n"/>
      <c r="AV47" s="26" t="n"/>
      <c r="AW47" s="26" t="n"/>
      <c r="AX47" s="26" t="n"/>
      <c r="AY47" s="26" t="n"/>
      <c r="AZ47" s="26" t="n"/>
      <c r="BA47" s="26" t="n"/>
      <c r="BB47" s="26" t="n"/>
      <c r="BC47" s="26" t="n"/>
      <c r="BD47" s="26" t="n"/>
      <c r="BE47" s="26" t="n"/>
      <c r="BF47" s="26" t="n"/>
      <c r="BG47" s="27" t="n"/>
      <c r="BH47" s="28" t="n"/>
      <c r="BI47" s="28" t="n"/>
      <c r="BJ47" s="28" t="n"/>
      <c r="BK47" s="28" t="n"/>
      <c r="BL47" s="28" t="n"/>
      <c r="BM47" s="28" t="n"/>
      <c r="BN47" s="28" t="n"/>
      <c r="BO47" s="28" t="n"/>
      <c r="BP47" s="28" t="n"/>
      <c r="BQ47" s="28" t="n"/>
      <c r="BR47" s="28" t="n"/>
      <c r="BS47" s="28" t="n"/>
    </row>
    <row r="48" ht="20" customHeight="1">
      <c r="A48" s="29" t="inlineStr">
        <is>
          <t>实际</t>
        </is>
      </c>
      <c r="B48" s="29" t="inlineStr">
        <is>
          <t>第一期</t>
        </is>
      </c>
      <c r="C48" s="30" t="inlineStr">
        <is>
          <t>PAB115·双级样机</t>
        </is>
      </c>
      <c r="D48" s="31">
        <f>'时间节点计划表'!E24</f>
        <v/>
      </c>
      <c r="E48" s="31">
        <f>IF(COUNT('时间节点计划表'!F24),'时间节点计划表'!F24,"")</f>
        <v/>
      </c>
      <c r="F48" s="32">
        <f>IF(OR(D48="",E48=""),"待填",E48-D48)</f>
        <v/>
      </c>
      <c r="G48" s="23">
        <f>IF(AND(COUNT($E48),N(G$2)=N($E48)),$E48,IF(AND(COUNT($E48),N(G$2)&gt;=N($G$2),N(G$2)&lt;N($E48))," ",""))</f>
        <v/>
      </c>
      <c r="H48" s="23">
        <f>IF(AND(COUNT($E48),N(H$2)=N($E48)),$E48,IF(AND(COUNT($E48),N(H$2)&gt;=N($G$2),N(H$2)&lt;N($E48))," ",""))</f>
        <v/>
      </c>
      <c r="I48" s="23">
        <f>IF(AND(COUNT($E48),N(I$2)=N($E48)),$E48,IF(AND(COUNT($E48),N(I$2)&gt;=N($G$2),N(I$2)&lt;N($E48))," ",""))</f>
        <v/>
      </c>
      <c r="J48" s="23">
        <f>IF(AND(COUNT($E48),N(J$2)=N($E48)),$E48,IF(AND(COUNT($E48),N(J$2)&gt;=N($G$2),N(J$2)&lt;N($E48))," ",""))</f>
        <v/>
      </c>
      <c r="K48" s="23">
        <f>IF(AND(COUNT($E48),N(K$2)=N($E48)),$E48,IF(AND(COUNT($E48),N(K$2)&gt;=N($G$2),N(K$2)&lt;N($E48))," ",""))</f>
        <v/>
      </c>
      <c r="L48" s="23">
        <f>IF(AND(COUNT($E48),N(L$2)=N($E48)),$E48,IF(AND(COUNT($E48),N(L$2)&gt;=N($G$2),N(L$2)&lt;N($E48))," ",""))</f>
        <v/>
      </c>
      <c r="M48" s="23">
        <f>IF(AND(COUNT($E48),N(M$2)=N($E48)),$E48,IF(AND(COUNT($E48),N(M$2)&gt;=N($G$2),N(M$2)&lt;N($E48))," ",""))</f>
        <v/>
      </c>
      <c r="N48" s="23">
        <f>IF(AND(COUNT($E48),N(N$2)=N($E48)),$E48,IF(AND(COUNT($E48),N(N$2)&gt;=N($G$2),N(N$2)&lt;N($E48))," ",""))</f>
        <v/>
      </c>
      <c r="O48" s="23">
        <f>IF(AND(COUNT($E48),N(O$2)=N($E48)),$E48,IF(AND(COUNT($E48),N(O$2)&gt;=N($G$2),N(O$2)&lt;N($E48))," ",""))</f>
        <v/>
      </c>
      <c r="P48" s="23">
        <f>IF(AND(COUNT($E48),N(P$2)=N($E48)),$E48,IF(AND(COUNT($E48),N(P$2)&gt;=N($G$2),N(P$2)&lt;N($E48))," ",""))</f>
        <v/>
      </c>
      <c r="Q48" s="23">
        <f>IF(AND(COUNT($E48),N(Q$2)=N($E48)),$E48,IF(AND(COUNT($E48),N(Q$2)&gt;=N($G$2),N(Q$2)&lt;N($E48))," ",""))</f>
        <v/>
      </c>
      <c r="R48" s="23">
        <f>IF(AND(COUNT($E48),N(R$2)=N($E48)),$E48,IF(AND(COUNT($E48),N(R$2)&gt;=N($G$2),N(R$2)&lt;N($E48))," ",""))</f>
        <v/>
      </c>
      <c r="S48" s="23">
        <f>IF(AND(COUNT($E48),N(S$2)=N($E48)),$E48,IF(AND(COUNT($E48),N(S$2)&gt;=N($G$2),N(S$2)&lt;N($E48))," ",""))</f>
        <v/>
      </c>
      <c r="T48" s="23">
        <f>IF(AND(COUNT($E48),N(T$2)=N($E48)),$E48,IF(AND(COUNT($E48),N(T$2)&gt;=N($G$2),N(T$2)&lt;N($E48))," ",""))</f>
        <v/>
      </c>
      <c r="U48" s="23">
        <f>IF(AND(COUNT($E48),N(U$2)=N($E48)),$E48,IF(AND(COUNT($E48),N(U$2)&gt;=N($G$2),N(U$2)&lt;N($E48))," ",""))</f>
        <v/>
      </c>
      <c r="V48" s="23">
        <f>IF(AND(COUNT($E48),N(V$2)=N($E48)),$E48,IF(AND(COUNT($E48),N(V$2)&gt;=N($G$2),N(V$2)&lt;N($E48))," ",""))</f>
        <v/>
      </c>
      <c r="W48" s="23">
        <f>IF(AND(COUNT($E48),N(W$2)=N($E48)),$E48,IF(AND(COUNT($E48),N(W$2)&gt;=N($G$2),N(W$2)&lt;N($E48))," ",""))</f>
        <v/>
      </c>
      <c r="X48" s="23">
        <f>IF(AND(COUNT($E48),N(X$2)=N($E48)),$E48,IF(AND(COUNT($E48),N(X$2)&gt;=N($G$2),N(X$2)&lt;N($E48))," ",""))</f>
        <v/>
      </c>
      <c r="Y48" s="23">
        <f>IF(AND(COUNT($E48),N(Y$2)=N($E48)),$E48,IF(AND(COUNT($E48),N(Y$2)&gt;=N($G$2),N(Y$2)&lt;N($E48))," ",""))</f>
        <v/>
      </c>
      <c r="Z48" s="23">
        <f>IF(AND(COUNT($E48),N(Z$2)=N($E48)),$E48,IF(AND(COUNT($E48),N(Z$2)&gt;=N($G$2),N(Z$2)&lt;N($E48))," ",""))</f>
        <v/>
      </c>
      <c r="AA48" s="23">
        <f>IF(AND(COUNT($E48),N(AA$2)=N($E48)),$E48,IF(AND(COUNT($E48),N(AA$2)&gt;=N($G$2),N(AA$2)&lt;N($E48))," ",""))</f>
        <v/>
      </c>
      <c r="AB48" s="23">
        <f>IF(AND(COUNT($E48),N(AB$2)=N($E48)),$E48,IF(AND(COUNT($E48),N(AB$2)&gt;=N($G$2),N(AB$2)&lt;N($E48))," ",""))</f>
        <v/>
      </c>
      <c r="AC48" s="23">
        <f>IF(AND(COUNT($E48),N(AC$2)=N($E48)),$E48,IF(AND(COUNT($E48),N(AC$2)&gt;=N($G$2),N(AC$2)&lt;N($E48))," ",""))</f>
        <v/>
      </c>
      <c r="AD48" s="23">
        <f>IF(AND(COUNT($E48),N(AD$2)=N($E48)),$E48,IF(AND(COUNT($E48),N(AD$2)&gt;=N($G$2),N(AD$2)&lt;N($E48))," ",""))</f>
        <v/>
      </c>
      <c r="AE48" s="23">
        <f>IF(AND(COUNT($E48),N(AE$2)=N($E48)),$E48,IF(AND(COUNT($E48),N(AE$2)&gt;=N($G$2),N(AE$2)&lt;N($E48))," ",""))</f>
        <v/>
      </c>
      <c r="AF48" s="23">
        <f>IF(AND(COUNT($E48),N(AF$2)=N($E48)),$E48,IF(AND(COUNT($E48),N(AF$2)&gt;=N($G$2),N(AF$2)&lt;N($E48))," ",""))</f>
        <v/>
      </c>
      <c r="AG48" s="23">
        <f>IF(AND(COUNT($E48),N(AG$2)=N($E48)),$E48,IF(AND(COUNT($E48),N(AG$2)&gt;=N($G$2),N(AG$2)&lt;N($E48))," ",""))</f>
        <v/>
      </c>
      <c r="AH48" s="23">
        <f>IF(AND(COUNT($E48),N(AH$2)=N($E48)),$E48,IF(AND(COUNT($E48),N(AH$2)&gt;=N($G$2),N(AH$2)&lt;N($E48))," ",""))</f>
        <v/>
      </c>
      <c r="AI48" s="23">
        <f>IF(AND(COUNT($E48),N(AI$2)=N($E48)),$E48,IF(AND(COUNT($E48),N(AI$2)&gt;=N($G$2),N(AI$2)&lt;N($E48))," ",""))</f>
        <v/>
      </c>
      <c r="AJ48" s="23">
        <f>IF(AND(COUNT($E48),N(AJ$2)=N($E48)),$E48,IF(AND(COUNT($E48),N(AJ$2)&gt;=N($G$2),N(AJ$2)&lt;N($E48))," ",""))</f>
        <v/>
      </c>
      <c r="AK48" s="23">
        <f>IF(AND(COUNT($E48),N(AK$2)=N($E48)),$E48,IF(AND(COUNT($E48),N(AK$2)&gt;=N($G$2),N(AK$2)&lt;N($E48))," ",""))</f>
        <v/>
      </c>
      <c r="AL48" s="23">
        <f>IF(AND(COUNT($E48),N(AL$2)=N($E48)),$E48,IF(AND(COUNT($E48),N(AL$2)&gt;=N($G$2),N(AL$2)&lt;N($E48))," ",""))</f>
        <v/>
      </c>
      <c r="AM48" s="23">
        <f>IF(AND(COUNT($E48),N(AM$2)=N($E48)),$E48,IF(AND(COUNT($E48),N(AM$2)&gt;=N($G$2),N(AM$2)&lt;N($E48))," ",""))</f>
        <v/>
      </c>
      <c r="AN48" s="23">
        <f>IF(AND(COUNT($E48),N(AN$2)=N($E48)),$E48,IF(AND(COUNT($E48),N(AN$2)&gt;=N($G$2),N(AN$2)&lt;N($E48))," ",""))</f>
        <v/>
      </c>
      <c r="AO48" s="23">
        <f>IF(AND(COUNT($E48),N(AO$2)=N($E48)),$E48,IF(AND(COUNT($E48),N(AO$2)&gt;=N($G$2),N(AO$2)&lt;N($E48))," ",""))</f>
        <v/>
      </c>
      <c r="AP48" s="23">
        <f>IF(AND(COUNT($E48),N(AP$2)=N($E48)),$E48,IF(AND(COUNT($E48),N(AP$2)&gt;=N($G$2),N(AP$2)&lt;N($E48))," ",""))</f>
        <v/>
      </c>
      <c r="AQ48" s="23">
        <f>IF(AND(COUNT($E48),N(AQ$2)=N($E48)),$E48,IF(AND(COUNT($E48),N(AQ$2)&gt;=N($G$2),N(AQ$2)&lt;N($E48))," ",""))</f>
        <v/>
      </c>
      <c r="AR48" s="23">
        <f>IF(AND(COUNT($E48),N(AR$2)=N($E48)),$E48,IF(AND(COUNT($E48),N(AR$2)&gt;=N($G$2),N(AR$2)&lt;N($E48))," ",""))</f>
        <v/>
      </c>
      <c r="AS48" s="23">
        <f>IF(AND(COUNT($E48),N(AS$2)=N($E48)),$E48,IF(AND(COUNT($E48),N(AS$2)&gt;=N($G$2),N(AS$2)&lt;N($E48))," ",""))</f>
        <v/>
      </c>
      <c r="AT48" s="23">
        <f>IF(AND(COUNT($E48),N(AT$2)=N($E48)),$E48,IF(AND(COUNT($E48),N(AT$2)&gt;=N($G$2),N(AT$2)&lt;N($E48))," ",""))</f>
        <v/>
      </c>
      <c r="AU48" s="23">
        <f>IF(AND(COUNT($E48),N(AU$2)=N($E48)),$E48,IF(AND(COUNT($E48),N(AU$2)&gt;=N($G$2),N(AU$2)&lt;N($E48))," ",""))</f>
        <v/>
      </c>
      <c r="AV48" s="23">
        <f>IF(AND(COUNT($E48),N(AV$2)=N($E48)),$E48,IF(AND(COUNT($E48),N(AV$2)&gt;=N($G$2),N(AV$2)&lt;N($E48))," ",""))</f>
        <v/>
      </c>
      <c r="AW48" s="23">
        <f>IF(AND(COUNT($E48),N(AW$2)=N($E48)),$E48,IF(AND(COUNT($E48),N(AW$2)&gt;=N($G$2),N(AW$2)&lt;N($E48))," ",""))</f>
        <v/>
      </c>
      <c r="AX48" s="23">
        <f>IF(AND(COUNT($E48),N(AX$2)=N($E48)),$E48,IF(AND(COUNT($E48),N(AX$2)&gt;=N($G$2),N(AX$2)&lt;N($E48))," ",""))</f>
        <v/>
      </c>
      <c r="AY48" s="23">
        <f>IF(AND(COUNT($E48),N(AY$2)=N($E48)),$E48,IF(AND(COUNT($E48),N(AY$2)&gt;=N($G$2),N(AY$2)&lt;N($E48))," ",""))</f>
        <v/>
      </c>
      <c r="AZ48" s="23">
        <f>IF(AND(COUNT($E48),N(AZ$2)=N($E48)),$E48,IF(AND(COUNT($E48),N(AZ$2)&gt;=N($G$2),N(AZ$2)&lt;N($E48))," ",""))</f>
        <v/>
      </c>
      <c r="BA48" s="23">
        <f>IF(AND(COUNT($E48),N(BA$2)=N($E48)),$E48,IF(AND(COUNT($E48),N(BA$2)&gt;=N($G$2),N(BA$2)&lt;N($E48))," ",""))</f>
        <v/>
      </c>
      <c r="BB48" s="23">
        <f>IF(AND(COUNT($E48),N(BB$2)=N($E48)),$E48,IF(AND(COUNT($E48),N(BB$2)&gt;=N($G$2),N(BB$2)&lt;N($E48))," ",""))</f>
        <v/>
      </c>
      <c r="BC48" s="23">
        <f>IF(AND(COUNT($E48),N(BC$2)=N($E48)),$E48,IF(AND(COUNT($E48),N(BC$2)&gt;=N($G$2),N(BC$2)&lt;N($E48))," ",""))</f>
        <v/>
      </c>
      <c r="BD48" s="23">
        <f>IF(AND(COUNT($E48),N(BD$2)=N($E48)),$E48,IF(AND(COUNT($E48),N(BD$2)&gt;=N($G$2),N(BD$2)&lt;N($E48))," ",""))</f>
        <v/>
      </c>
      <c r="BE48" s="23">
        <f>IF(AND(COUNT($E48),N(BE$2)=N($E48)),$E48,IF(AND(COUNT($E48),N(BE$2)&gt;=N($G$2),N(BE$2)&lt;N($E48))," ",""))</f>
        <v/>
      </c>
      <c r="BF48" s="23">
        <f>IF(AND(COUNT($E48),N(BF$2)=N($E48)),$E48,IF(AND(COUNT($E48),N(BF$2)&gt;=N($G$2),N(BF$2)&lt;N($E48))," ",""))</f>
        <v/>
      </c>
      <c r="BG48" s="23">
        <f>IF(AND(COUNT($E48),N(BG$2)=N($E48)),$E48,IF(AND(COUNT($E48),N(BG$2)&gt;=N($G$2),N(BG$2)&lt;N($E48))," ",""))</f>
        <v/>
      </c>
      <c r="BH48" s="23">
        <f>IF(AND(COUNT($E48),N(BH$2)=N($E48)),$E48,IF(AND(COUNT($E48),N(BH$2)&gt;=N($G$2),N(BH$2)&lt;N($E48))," ",""))</f>
        <v/>
      </c>
      <c r="BI48" s="23">
        <f>IF(AND(COUNT($E48),N(BI$2)=N($E48)),$E48,IF(AND(COUNT($E48),N(BI$2)&gt;=N($G$2),N(BI$2)&lt;N($E48))," ",""))</f>
        <v/>
      </c>
      <c r="BJ48" s="23">
        <f>IF(AND(COUNT($E48),N(BJ$2)=N($E48)),$E48,IF(AND(COUNT($E48),N(BJ$2)&gt;=N($G$2),N(BJ$2)&lt;N($E48))," ",""))</f>
        <v/>
      </c>
      <c r="BK48" s="23">
        <f>IF(AND(COUNT($E48),N(BK$2)=N($E48)),$E48,IF(AND(COUNT($E48),N(BK$2)&gt;=N($G$2),N(BK$2)&lt;N($E48))," ",""))</f>
        <v/>
      </c>
      <c r="BL48" s="23">
        <f>IF(AND(COUNT($E48),N(BL$2)=N($E48)),$E48,IF(AND(COUNT($E48),N(BL$2)&gt;=N($G$2),N(BL$2)&lt;N($E48))," ",""))</f>
        <v/>
      </c>
      <c r="BM48" s="23">
        <f>IF(AND(COUNT($E48),N(BM$2)=N($E48)),$E48,IF(AND(COUNT($E48),N(BM$2)&gt;=N($G$2),N(BM$2)&lt;N($E48))," ",""))</f>
        <v/>
      </c>
      <c r="BN48" s="23">
        <f>IF(AND(COUNT($E48),N(BN$2)=N($E48)),$E48,IF(AND(COUNT($E48),N(BN$2)&gt;=N($G$2),N(BN$2)&lt;N($E48))," ",""))</f>
        <v/>
      </c>
      <c r="BO48" s="23">
        <f>IF(AND(COUNT($E48),N(BO$2)=N($E48)),$E48,IF(AND(COUNT($E48),N(BO$2)&gt;=N($G$2),N(BO$2)&lt;N($E48))," ",""))</f>
        <v/>
      </c>
      <c r="BP48" s="23">
        <f>IF(AND(COUNT($E48),N(BP$2)=N($E48)),$E48,IF(AND(COUNT($E48),N(BP$2)&gt;=N($G$2),N(BP$2)&lt;N($E48))," ",""))</f>
        <v/>
      </c>
      <c r="BQ48" s="23">
        <f>IF(AND(COUNT($E48),N(BQ$2)=N($E48)),$E48,IF(AND(COUNT($E48),N(BQ$2)&gt;=N($G$2),N(BQ$2)&lt;N($E48))," ",""))</f>
        <v/>
      </c>
      <c r="BR48" s="23">
        <f>IF(AND(COUNT($E48),N(BR$2)=N($E48)),$E48,IF(AND(COUNT($E48),N(BR$2)&gt;=N($G$2),N(BR$2)&lt;N($E48))," ",""))</f>
        <v/>
      </c>
      <c r="BS48" s="23">
        <f>IF(AND(COUNT($E48),N(BS$2)=N($E48)),$E48,IF(AND(COUNT($E48),N(BS$2)&gt;=N($G$2),N(BS$2)&lt;N($E48))," ",""))</f>
        <v/>
      </c>
    </row>
    <row r="49" ht="20" customHeight="1">
      <c r="A49" s="21" t="inlineStr">
        <is>
          <t>预估</t>
        </is>
      </c>
      <c r="B49" s="21" t="inlineStr">
        <is>
          <t>第一期</t>
        </is>
      </c>
      <c r="C49" s="22" t="inlineStr">
        <is>
          <t>PAB142·零件到位</t>
        </is>
      </c>
      <c r="D49" s="23">
        <f>'时间节点计划表'!E25</f>
        <v/>
      </c>
      <c r="E49" s="23">
        <f>IF(COUNT('时间节点计划表'!F25),'时间节点计划表'!F25,"")</f>
        <v/>
      </c>
      <c r="F49" s="24" t="inlineStr"/>
      <c r="G49" s="25">
        <f>D49</f>
        <v/>
      </c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  <c r="X49" s="26" t="n"/>
      <c r="Y49" s="26" t="n"/>
      <c r="Z49" s="26" t="n"/>
      <c r="AA49" s="26" t="n"/>
      <c r="AB49" s="26" t="n"/>
      <c r="AC49" s="26" t="n"/>
      <c r="AD49" s="26" t="n"/>
      <c r="AE49" s="26" t="n"/>
      <c r="AF49" s="26" t="n"/>
      <c r="AG49" s="26" t="n"/>
      <c r="AH49" s="26" t="n"/>
      <c r="AI49" s="26" t="n"/>
      <c r="AJ49" s="26" t="n"/>
      <c r="AK49" s="26" t="n"/>
      <c r="AL49" s="26" t="n"/>
      <c r="AM49" s="26" t="n"/>
      <c r="AN49" s="26" t="n"/>
      <c r="AO49" s="26" t="n"/>
      <c r="AP49" s="26" t="n"/>
      <c r="AQ49" s="26" t="n"/>
      <c r="AR49" s="26" t="n"/>
      <c r="AS49" s="26" t="n"/>
      <c r="AT49" s="26" t="n"/>
      <c r="AU49" s="26" t="n"/>
      <c r="AV49" s="26" t="n"/>
      <c r="AW49" s="26" t="n"/>
      <c r="AX49" s="26" t="n"/>
      <c r="AY49" s="26" t="n"/>
      <c r="AZ49" s="26" t="n"/>
      <c r="BA49" s="26" t="n"/>
      <c r="BB49" s="26" t="n"/>
      <c r="BC49" s="26" t="n"/>
      <c r="BD49" s="26" t="n"/>
      <c r="BE49" s="26" t="n"/>
      <c r="BF49" s="26" t="n"/>
      <c r="BG49" s="26" t="n"/>
      <c r="BH49" s="27" t="n"/>
      <c r="BI49" s="28" t="n"/>
      <c r="BJ49" s="28" t="n"/>
      <c r="BK49" s="28" t="n"/>
      <c r="BL49" s="28" t="n"/>
      <c r="BM49" s="28" t="n"/>
      <c r="BN49" s="28" t="n"/>
      <c r="BO49" s="28" t="n"/>
      <c r="BP49" s="28" t="n"/>
      <c r="BQ49" s="28" t="n"/>
      <c r="BR49" s="28" t="n"/>
      <c r="BS49" s="28" t="n"/>
    </row>
    <row r="50" ht="20" customHeight="1">
      <c r="A50" s="29" t="inlineStr">
        <is>
          <t>实际</t>
        </is>
      </c>
      <c r="B50" s="29" t="inlineStr">
        <is>
          <t>第一期</t>
        </is>
      </c>
      <c r="C50" s="30" t="inlineStr">
        <is>
          <t>PAB142·零件到位</t>
        </is>
      </c>
      <c r="D50" s="31">
        <f>'时间节点计划表'!E25</f>
        <v/>
      </c>
      <c r="E50" s="31">
        <f>IF(COUNT('时间节点计划表'!F25),'时间节点计划表'!F25,"")</f>
        <v/>
      </c>
      <c r="F50" s="32">
        <f>IF(OR(D50="",E50=""),"待填",E50-D50)</f>
        <v/>
      </c>
      <c r="G50" s="23">
        <f>IF(AND(COUNT($E50),N(G$2)=N($E50)),$E50,IF(AND(COUNT($E50),N(G$2)&gt;=N($G$2),N(G$2)&lt;N($E50))," ",""))</f>
        <v/>
      </c>
      <c r="H50" s="23">
        <f>IF(AND(COUNT($E50),N(H$2)=N($E50)),$E50,IF(AND(COUNT($E50),N(H$2)&gt;=N($G$2),N(H$2)&lt;N($E50))," ",""))</f>
        <v/>
      </c>
      <c r="I50" s="23">
        <f>IF(AND(COUNT($E50),N(I$2)=N($E50)),$E50,IF(AND(COUNT($E50),N(I$2)&gt;=N($G$2),N(I$2)&lt;N($E50))," ",""))</f>
        <v/>
      </c>
      <c r="J50" s="23">
        <f>IF(AND(COUNT($E50),N(J$2)=N($E50)),$E50,IF(AND(COUNT($E50),N(J$2)&gt;=N($G$2),N(J$2)&lt;N($E50))," ",""))</f>
        <v/>
      </c>
      <c r="K50" s="23">
        <f>IF(AND(COUNT($E50),N(K$2)=N($E50)),$E50,IF(AND(COUNT($E50),N(K$2)&gt;=N($G$2),N(K$2)&lt;N($E50))," ",""))</f>
        <v/>
      </c>
      <c r="L50" s="23">
        <f>IF(AND(COUNT($E50),N(L$2)=N($E50)),$E50,IF(AND(COUNT($E50),N(L$2)&gt;=N($G$2),N(L$2)&lt;N($E50))," ",""))</f>
        <v/>
      </c>
      <c r="M50" s="23">
        <f>IF(AND(COUNT($E50),N(M$2)=N($E50)),$E50,IF(AND(COUNT($E50),N(M$2)&gt;=N($G$2),N(M$2)&lt;N($E50))," ",""))</f>
        <v/>
      </c>
      <c r="N50" s="23">
        <f>IF(AND(COUNT($E50),N(N$2)=N($E50)),$E50,IF(AND(COUNT($E50),N(N$2)&gt;=N($G$2),N(N$2)&lt;N($E50))," ",""))</f>
        <v/>
      </c>
      <c r="O50" s="23">
        <f>IF(AND(COUNT($E50),N(O$2)=N($E50)),$E50,IF(AND(COUNT($E50),N(O$2)&gt;=N($G$2),N(O$2)&lt;N($E50))," ",""))</f>
        <v/>
      </c>
      <c r="P50" s="23">
        <f>IF(AND(COUNT($E50),N(P$2)=N($E50)),$E50,IF(AND(COUNT($E50),N(P$2)&gt;=N($G$2),N(P$2)&lt;N($E50))," ",""))</f>
        <v/>
      </c>
      <c r="Q50" s="23">
        <f>IF(AND(COUNT($E50),N(Q$2)=N($E50)),$E50,IF(AND(COUNT($E50),N(Q$2)&gt;=N($G$2),N(Q$2)&lt;N($E50))," ",""))</f>
        <v/>
      </c>
      <c r="R50" s="23">
        <f>IF(AND(COUNT($E50),N(R$2)=N($E50)),$E50,IF(AND(COUNT($E50),N(R$2)&gt;=N($G$2),N(R$2)&lt;N($E50))," ",""))</f>
        <v/>
      </c>
      <c r="S50" s="23">
        <f>IF(AND(COUNT($E50),N(S$2)=N($E50)),$E50,IF(AND(COUNT($E50),N(S$2)&gt;=N($G$2),N(S$2)&lt;N($E50))," ",""))</f>
        <v/>
      </c>
      <c r="T50" s="23">
        <f>IF(AND(COUNT($E50),N(T$2)=N($E50)),$E50,IF(AND(COUNT($E50),N(T$2)&gt;=N($G$2),N(T$2)&lt;N($E50))," ",""))</f>
        <v/>
      </c>
      <c r="U50" s="23">
        <f>IF(AND(COUNT($E50),N(U$2)=N($E50)),$E50,IF(AND(COUNT($E50),N(U$2)&gt;=N($G$2),N(U$2)&lt;N($E50))," ",""))</f>
        <v/>
      </c>
      <c r="V50" s="23">
        <f>IF(AND(COUNT($E50),N(V$2)=N($E50)),$E50,IF(AND(COUNT($E50),N(V$2)&gt;=N($G$2),N(V$2)&lt;N($E50))," ",""))</f>
        <v/>
      </c>
      <c r="W50" s="23">
        <f>IF(AND(COUNT($E50),N(W$2)=N($E50)),$E50,IF(AND(COUNT($E50),N(W$2)&gt;=N($G$2),N(W$2)&lt;N($E50))," ",""))</f>
        <v/>
      </c>
      <c r="X50" s="23">
        <f>IF(AND(COUNT($E50),N(X$2)=N($E50)),$E50,IF(AND(COUNT($E50),N(X$2)&gt;=N($G$2),N(X$2)&lt;N($E50))," ",""))</f>
        <v/>
      </c>
      <c r="Y50" s="23">
        <f>IF(AND(COUNT($E50),N(Y$2)=N($E50)),$E50,IF(AND(COUNT($E50),N(Y$2)&gt;=N($G$2),N(Y$2)&lt;N($E50))," ",""))</f>
        <v/>
      </c>
      <c r="Z50" s="23">
        <f>IF(AND(COUNT($E50),N(Z$2)=N($E50)),$E50,IF(AND(COUNT($E50),N(Z$2)&gt;=N($G$2),N(Z$2)&lt;N($E50))," ",""))</f>
        <v/>
      </c>
      <c r="AA50" s="23">
        <f>IF(AND(COUNT($E50),N(AA$2)=N($E50)),$E50,IF(AND(COUNT($E50),N(AA$2)&gt;=N($G$2),N(AA$2)&lt;N($E50))," ",""))</f>
        <v/>
      </c>
      <c r="AB50" s="23">
        <f>IF(AND(COUNT($E50),N(AB$2)=N($E50)),$E50,IF(AND(COUNT($E50),N(AB$2)&gt;=N($G$2),N(AB$2)&lt;N($E50))," ",""))</f>
        <v/>
      </c>
      <c r="AC50" s="23">
        <f>IF(AND(COUNT($E50),N(AC$2)=N($E50)),$E50,IF(AND(COUNT($E50),N(AC$2)&gt;=N($G$2),N(AC$2)&lt;N($E50))," ",""))</f>
        <v/>
      </c>
      <c r="AD50" s="23">
        <f>IF(AND(COUNT($E50),N(AD$2)=N($E50)),$E50,IF(AND(COUNT($E50),N(AD$2)&gt;=N($G$2),N(AD$2)&lt;N($E50))," ",""))</f>
        <v/>
      </c>
      <c r="AE50" s="23">
        <f>IF(AND(COUNT($E50),N(AE$2)=N($E50)),$E50,IF(AND(COUNT($E50),N(AE$2)&gt;=N($G$2),N(AE$2)&lt;N($E50))," ",""))</f>
        <v/>
      </c>
      <c r="AF50" s="23">
        <f>IF(AND(COUNT($E50),N(AF$2)=N($E50)),$E50,IF(AND(COUNT($E50),N(AF$2)&gt;=N($G$2),N(AF$2)&lt;N($E50))," ",""))</f>
        <v/>
      </c>
      <c r="AG50" s="23">
        <f>IF(AND(COUNT($E50),N(AG$2)=N($E50)),$E50,IF(AND(COUNT($E50),N(AG$2)&gt;=N($G$2),N(AG$2)&lt;N($E50))," ",""))</f>
        <v/>
      </c>
      <c r="AH50" s="23">
        <f>IF(AND(COUNT($E50),N(AH$2)=N($E50)),$E50,IF(AND(COUNT($E50),N(AH$2)&gt;=N($G$2),N(AH$2)&lt;N($E50))," ",""))</f>
        <v/>
      </c>
      <c r="AI50" s="23">
        <f>IF(AND(COUNT($E50),N(AI$2)=N($E50)),$E50,IF(AND(COUNT($E50),N(AI$2)&gt;=N($G$2),N(AI$2)&lt;N($E50))," ",""))</f>
        <v/>
      </c>
      <c r="AJ50" s="23">
        <f>IF(AND(COUNT($E50),N(AJ$2)=N($E50)),$E50,IF(AND(COUNT($E50),N(AJ$2)&gt;=N($G$2),N(AJ$2)&lt;N($E50))," ",""))</f>
        <v/>
      </c>
      <c r="AK50" s="23">
        <f>IF(AND(COUNT($E50),N(AK$2)=N($E50)),$E50,IF(AND(COUNT($E50),N(AK$2)&gt;=N($G$2),N(AK$2)&lt;N($E50))," ",""))</f>
        <v/>
      </c>
      <c r="AL50" s="23">
        <f>IF(AND(COUNT($E50),N(AL$2)=N($E50)),$E50,IF(AND(COUNT($E50),N(AL$2)&gt;=N($G$2),N(AL$2)&lt;N($E50))," ",""))</f>
        <v/>
      </c>
      <c r="AM50" s="23">
        <f>IF(AND(COUNT($E50),N(AM$2)=N($E50)),$E50,IF(AND(COUNT($E50),N(AM$2)&gt;=N($G$2),N(AM$2)&lt;N($E50))," ",""))</f>
        <v/>
      </c>
      <c r="AN50" s="23">
        <f>IF(AND(COUNT($E50),N(AN$2)=N($E50)),$E50,IF(AND(COUNT($E50),N(AN$2)&gt;=N($G$2),N(AN$2)&lt;N($E50))," ",""))</f>
        <v/>
      </c>
      <c r="AO50" s="23">
        <f>IF(AND(COUNT($E50),N(AO$2)=N($E50)),$E50,IF(AND(COUNT($E50),N(AO$2)&gt;=N($G$2),N(AO$2)&lt;N($E50))," ",""))</f>
        <v/>
      </c>
      <c r="AP50" s="23">
        <f>IF(AND(COUNT($E50),N(AP$2)=N($E50)),$E50,IF(AND(COUNT($E50),N(AP$2)&gt;=N($G$2),N(AP$2)&lt;N($E50))," ",""))</f>
        <v/>
      </c>
      <c r="AQ50" s="23">
        <f>IF(AND(COUNT($E50),N(AQ$2)=N($E50)),$E50,IF(AND(COUNT($E50),N(AQ$2)&gt;=N($G$2),N(AQ$2)&lt;N($E50))," ",""))</f>
        <v/>
      </c>
      <c r="AR50" s="23">
        <f>IF(AND(COUNT($E50),N(AR$2)=N($E50)),$E50,IF(AND(COUNT($E50),N(AR$2)&gt;=N($G$2),N(AR$2)&lt;N($E50))," ",""))</f>
        <v/>
      </c>
      <c r="AS50" s="23">
        <f>IF(AND(COUNT($E50),N(AS$2)=N($E50)),$E50,IF(AND(COUNT($E50),N(AS$2)&gt;=N($G$2),N(AS$2)&lt;N($E50))," ",""))</f>
        <v/>
      </c>
      <c r="AT50" s="23">
        <f>IF(AND(COUNT($E50),N(AT$2)=N($E50)),$E50,IF(AND(COUNT($E50),N(AT$2)&gt;=N($G$2),N(AT$2)&lt;N($E50))," ",""))</f>
        <v/>
      </c>
      <c r="AU50" s="23">
        <f>IF(AND(COUNT($E50),N(AU$2)=N($E50)),$E50,IF(AND(COUNT($E50),N(AU$2)&gt;=N($G$2),N(AU$2)&lt;N($E50))," ",""))</f>
        <v/>
      </c>
      <c r="AV50" s="23">
        <f>IF(AND(COUNT($E50),N(AV$2)=N($E50)),$E50,IF(AND(COUNT($E50),N(AV$2)&gt;=N($G$2),N(AV$2)&lt;N($E50))," ",""))</f>
        <v/>
      </c>
      <c r="AW50" s="23">
        <f>IF(AND(COUNT($E50),N(AW$2)=N($E50)),$E50,IF(AND(COUNT($E50),N(AW$2)&gt;=N($G$2),N(AW$2)&lt;N($E50))," ",""))</f>
        <v/>
      </c>
      <c r="AX50" s="23">
        <f>IF(AND(COUNT($E50),N(AX$2)=N($E50)),$E50,IF(AND(COUNT($E50),N(AX$2)&gt;=N($G$2),N(AX$2)&lt;N($E50))," ",""))</f>
        <v/>
      </c>
      <c r="AY50" s="23">
        <f>IF(AND(COUNT($E50),N(AY$2)=N($E50)),$E50,IF(AND(COUNT($E50),N(AY$2)&gt;=N($G$2),N(AY$2)&lt;N($E50))," ",""))</f>
        <v/>
      </c>
      <c r="AZ50" s="23">
        <f>IF(AND(COUNT($E50),N(AZ$2)=N($E50)),$E50,IF(AND(COUNT($E50),N(AZ$2)&gt;=N($G$2),N(AZ$2)&lt;N($E50))," ",""))</f>
        <v/>
      </c>
      <c r="BA50" s="23">
        <f>IF(AND(COUNT($E50),N(BA$2)=N($E50)),$E50,IF(AND(COUNT($E50),N(BA$2)&gt;=N($G$2),N(BA$2)&lt;N($E50))," ",""))</f>
        <v/>
      </c>
      <c r="BB50" s="23">
        <f>IF(AND(COUNT($E50),N(BB$2)=N($E50)),$E50,IF(AND(COUNT($E50),N(BB$2)&gt;=N($G$2),N(BB$2)&lt;N($E50))," ",""))</f>
        <v/>
      </c>
      <c r="BC50" s="23">
        <f>IF(AND(COUNT($E50),N(BC$2)=N($E50)),$E50,IF(AND(COUNT($E50),N(BC$2)&gt;=N($G$2),N(BC$2)&lt;N($E50))," ",""))</f>
        <v/>
      </c>
      <c r="BD50" s="23">
        <f>IF(AND(COUNT($E50),N(BD$2)=N($E50)),$E50,IF(AND(COUNT($E50),N(BD$2)&gt;=N($G$2),N(BD$2)&lt;N($E50))," ",""))</f>
        <v/>
      </c>
      <c r="BE50" s="23">
        <f>IF(AND(COUNT($E50),N(BE$2)=N($E50)),$E50,IF(AND(COUNT($E50),N(BE$2)&gt;=N($G$2),N(BE$2)&lt;N($E50))," ",""))</f>
        <v/>
      </c>
      <c r="BF50" s="23">
        <f>IF(AND(COUNT($E50),N(BF$2)=N($E50)),$E50,IF(AND(COUNT($E50),N(BF$2)&gt;=N($G$2),N(BF$2)&lt;N($E50))," ",""))</f>
        <v/>
      </c>
      <c r="BG50" s="23">
        <f>IF(AND(COUNT($E50),N(BG$2)=N($E50)),$E50,IF(AND(COUNT($E50),N(BG$2)&gt;=N($G$2),N(BG$2)&lt;N($E50))," ",""))</f>
        <v/>
      </c>
      <c r="BH50" s="23">
        <f>IF(AND(COUNT($E50),N(BH$2)=N($E50)),$E50,IF(AND(COUNT($E50),N(BH$2)&gt;=N($G$2),N(BH$2)&lt;N($E50))," ",""))</f>
        <v/>
      </c>
      <c r="BI50" s="23">
        <f>IF(AND(COUNT($E50),N(BI$2)=N($E50)),$E50,IF(AND(COUNT($E50),N(BI$2)&gt;=N($G$2),N(BI$2)&lt;N($E50))," ",""))</f>
        <v/>
      </c>
      <c r="BJ50" s="23">
        <f>IF(AND(COUNT($E50),N(BJ$2)=N($E50)),$E50,IF(AND(COUNT($E50),N(BJ$2)&gt;=N($G$2),N(BJ$2)&lt;N($E50))," ",""))</f>
        <v/>
      </c>
      <c r="BK50" s="23">
        <f>IF(AND(COUNT($E50),N(BK$2)=N($E50)),$E50,IF(AND(COUNT($E50),N(BK$2)&gt;=N($G$2),N(BK$2)&lt;N($E50))," ",""))</f>
        <v/>
      </c>
      <c r="BL50" s="23">
        <f>IF(AND(COUNT($E50),N(BL$2)=N($E50)),$E50,IF(AND(COUNT($E50),N(BL$2)&gt;=N($G$2),N(BL$2)&lt;N($E50))," ",""))</f>
        <v/>
      </c>
      <c r="BM50" s="23">
        <f>IF(AND(COUNT($E50),N(BM$2)=N($E50)),$E50,IF(AND(COUNT($E50),N(BM$2)&gt;=N($G$2),N(BM$2)&lt;N($E50))," ",""))</f>
        <v/>
      </c>
      <c r="BN50" s="23">
        <f>IF(AND(COUNT($E50),N(BN$2)=N($E50)),$E50,IF(AND(COUNT($E50),N(BN$2)&gt;=N($G$2),N(BN$2)&lt;N($E50))," ",""))</f>
        <v/>
      </c>
      <c r="BO50" s="23">
        <f>IF(AND(COUNT($E50),N(BO$2)=N($E50)),$E50,IF(AND(COUNT($E50),N(BO$2)&gt;=N($G$2),N(BO$2)&lt;N($E50))," ",""))</f>
        <v/>
      </c>
      <c r="BP50" s="23">
        <f>IF(AND(COUNT($E50),N(BP$2)=N($E50)),$E50,IF(AND(COUNT($E50),N(BP$2)&gt;=N($G$2),N(BP$2)&lt;N($E50))," ",""))</f>
        <v/>
      </c>
      <c r="BQ50" s="23">
        <f>IF(AND(COUNT($E50),N(BQ$2)=N($E50)),$E50,IF(AND(COUNT($E50),N(BQ$2)&gt;=N($G$2),N(BQ$2)&lt;N($E50))," ",""))</f>
        <v/>
      </c>
      <c r="BR50" s="23">
        <f>IF(AND(COUNT($E50),N(BR$2)=N($E50)),$E50,IF(AND(COUNT($E50),N(BR$2)&gt;=N($G$2),N(BR$2)&lt;N($E50))," ",""))</f>
        <v/>
      </c>
      <c r="BS50" s="23">
        <f>IF(AND(COUNT($E50),N(BS$2)=N($E50)),$E50,IF(AND(COUNT($E50),N(BS$2)&gt;=N($G$2),N(BS$2)&lt;N($E50))," ",""))</f>
        <v/>
      </c>
    </row>
    <row r="51" ht="20" customHeight="1">
      <c r="A51" s="21" t="inlineStr">
        <is>
          <t>预估</t>
        </is>
      </c>
      <c r="B51" s="21" t="inlineStr">
        <is>
          <t>第一期</t>
        </is>
      </c>
      <c r="C51" s="22" t="inlineStr">
        <is>
          <t>PAB142·工装图纸绘制</t>
        </is>
      </c>
      <c r="D51" s="23">
        <f>'时间节点计划表'!E26</f>
        <v/>
      </c>
      <c r="E51" s="23">
        <f>IF(COUNT('时间节点计划表'!F26),'时间节点计划表'!F26,"")</f>
        <v/>
      </c>
      <c r="F51" s="24" t="inlineStr"/>
      <c r="G51" s="25">
        <f>D51</f>
        <v/>
      </c>
      <c r="H51" s="26" t="n"/>
      <c r="I51" s="26" t="n"/>
      <c r="J51" s="26" t="n"/>
      <c r="K51" s="26" t="n"/>
      <c r="L51" s="26" t="n"/>
      <c r="M51" s="26" t="n"/>
      <c r="N51" s="26" t="n"/>
      <c r="O51" s="26" t="n"/>
      <c r="P51" s="26" t="n"/>
      <c r="Q51" s="26" t="n"/>
      <c r="R51" s="26" t="n"/>
      <c r="S51" s="26" t="n"/>
      <c r="T51" s="26" t="n"/>
      <c r="U51" s="26" t="n"/>
      <c r="V51" s="27" t="n"/>
      <c r="W51" s="28" t="n"/>
      <c r="X51" s="28" t="n"/>
      <c r="Y51" s="28" t="n"/>
      <c r="Z51" s="28" t="n"/>
      <c r="AA51" s="28" t="n"/>
      <c r="AB51" s="28" t="n"/>
      <c r="AC51" s="28" t="n"/>
      <c r="AD51" s="28" t="n"/>
      <c r="AE51" s="28" t="n"/>
      <c r="AF51" s="28" t="n"/>
      <c r="AG51" s="28" t="n"/>
      <c r="AH51" s="28" t="n"/>
      <c r="AI51" s="28" t="n"/>
      <c r="AJ51" s="28" t="n"/>
      <c r="AK51" s="28" t="n"/>
      <c r="AL51" s="28" t="n"/>
      <c r="AM51" s="28" t="n"/>
      <c r="AN51" s="28" t="n"/>
      <c r="AO51" s="28" t="n"/>
      <c r="AP51" s="28" t="n"/>
      <c r="AQ51" s="28" t="n"/>
      <c r="AR51" s="28" t="n"/>
      <c r="AS51" s="28" t="n"/>
      <c r="AT51" s="28" t="n"/>
      <c r="AU51" s="28" t="n"/>
      <c r="AV51" s="28" t="n"/>
      <c r="AW51" s="28" t="n"/>
      <c r="AX51" s="28" t="n"/>
      <c r="AY51" s="28" t="n"/>
      <c r="AZ51" s="28" t="n"/>
      <c r="BA51" s="28" t="n"/>
      <c r="BB51" s="28" t="n"/>
      <c r="BC51" s="28" t="n"/>
      <c r="BD51" s="28" t="n"/>
      <c r="BE51" s="28" t="n"/>
      <c r="BF51" s="28" t="n"/>
      <c r="BG51" s="28" t="n"/>
      <c r="BH51" s="28" t="n"/>
      <c r="BI51" s="28" t="n"/>
      <c r="BJ51" s="28" t="n"/>
      <c r="BK51" s="28" t="n"/>
      <c r="BL51" s="28" t="n"/>
      <c r="BM51" s="28" t="n"/>
      <c r="BN51" s="28" t="n"/>
      <c r="BO51" s="28" t="n"/>
      <c r="BP51" s="28" t="n"/>
      <c r="BQ51" s="28" t="n"/>
      <c r="BR51" s="28" t="n"/>
      <c r="BS51" s="28" t="n"/>
    </row>
    <row r="52" ht="20" customHeight="1">
      <c r="A52" s="29" t="inlineStr">
        <is>
          <t>实际</t>
        </is>
      </c>
      <c r="B52" s="29" t="inlineStr">
        <is>
          <t>第一期</t>
        </is>
      </c>
      <c r="C52" s="30" t="inlineStr">
        <is>
          <t>PAB142·工装图纸绘制</t>
        </is>
      </c>
      <c r="D52" s="31">
        <f>'时间节点计划表'!E26</f>
        <v/>
      </c>
      <c r="E52" s="31">
        <f>IF(COUNT('时间节点计划表'!F26),'时间节点计划表'!F26,"")</f>
        <v/>
      </c>
      <c r="F52" s="32">
        <f>IF(OR(D52="",E52=""),"待填",E52-D52)</f>
        <v/>
      </c>
      <c r="G52" s="23">
        <f>IF(AND(COUNT($E52),N(G$2)=N($E52)),$E52,IF(AND(COUNT($E52),N(G$2)&gt;=N($G$2),N(G$2)&lt;N($E52))," ",""))</f>
        <v/>
      </c>
      <c r="H52" s="23">
        <f>IF(AND(COUNT($E52),N(H$2)=N($E52)),$E52,IF(AND(COUNT($E52),N(H$2)&gt;=N($G$2),N(H$2)&lt;N($E52))," ",""))</f>
        <v/>
      </c>
      <c r="I52" s="23">
        <f>IF(AND(COUNT($E52),N(I$2)=N($E52)),$E52,IF(AND(COUNT($E52),N(I$2)&gt;=N($G$2),N(I$2)&lt;N($E52))," ",""))</f>
        <v/>
      </c>
      <c r="J52" s="23">
        <f>IF(AND(COUNT($E52),N(J$2)=N($E52)),$E52,IF(AND(COUNT($E52),N(J$2)&gt;=N($G$2),N(J$2)&lt;N($E52))," ",""))</f>
        <v/>
      </c>
      <c r="K52" s="23">
        <f>IF(AND(COUNT($E52),N(K$2)=N($E52)),$E52,IF(AND(COUNT($E52),N(K$2)&gt;=N($G$2),N(K$2)&lt;N($E52))," ",""))</f>
        <v/>
      </c>
      <c r="L52" s="23">
        <f>IF(AND(COUNT($E52),N(L$2)=N($E52)),$E52,IF(AND(COUNT($E52),N(L$2)&gt;=N($G$2),N(L$2)&lt;N($E52))," ",""))</f>
        <v/>
      </c>
      <c r="M52" s="23">
        <f>IF(AND(COUNT($E52),N(M$2)=N($E52)),$E52,IF(AND(COUNT($E52),N(M$2)&gt;=N($G$2),N(M$2)&lt;N($E52))," ",""))</f>
        <v/>
      </c>
      <c r="N52" s="23">
        <f>IF(AND(COUNT($E52),N(N$2)=N($E52)),$E52,IF(AND(COUNT($E52),N(N$2)&gt;=N($G$2),N(N$2)&lt;N($E52))," ",""))</f>
        <v/>
      </c>
      <c r="O52" s="23">
        <f>IF(AND(COUNT($E52),N(O$2)=N($E52)),$E52,IF(AND(COUNT($E52),N(O$2)&gt;=N($G$2),N(O$2)&lt;N($E52))," ",""))</f>
        <v/>
      </c>
      <c r="P52" s="23">
        <f>IF(AND(COUNT($E52),N(P$2)=N($E52)),$E52,IF(AND(COUNT($E52),N(P$2)&gt;=N($G$2),N(P$2)&lt;N($E52))," ",""))</f>
        <v/>
      </c>
      <c r="Q52" s="23">
        <f>IF(AND(COUNT($E52),N(Q$2)=N($E52)),$E52,IF(AND(COUNT($E52),N(Q$2)&gt;=N($G$2),N(Q$2)&lt;N($E52))," ",""))</f>
        <v/>
      </c>
      <c r="R52" s="23">
        <f>IF(AND(COUNT($E52),N(R$2)=N($E52)),$E52,IF(AND(COUNT($E52),N(R$2)&gt;=N($G$2),N(R$2)&lt;N($E52))," ",""))</f>
        <v/>
      </c>
      <c r="S52" s="23">
        <f>IF(AND(COUNT($E52),N(S$2)=N($E52)),$E52,IF(AND(COUNT($E52),N(S$2)&gt;=N($G$2),N(S$2)&lt;N($E52))," ",""))</f>
        <v/>
      </c>
      <c r="T52" s="23">
        <f>IF(AND(COUNT($E52),N(T$2)=N($E52)),$E52,IF(AND(COUNT($E52),N(T$2)&gt;=N($G$2),N(T$2)&lt;N($E52))," ",""))</f>
        <v/>
      </c>
      <c r="U52" s="23">
        <f>IF(AND(COUNT($E52),N(U$2)=N($E52)),$E52,IF(AND(COUNT($E52),N(U$2)&gt;=N($G$2),N(U$2)&lt;N($E52))," ",""))</f>
        <v/>
      </c>
      <c r="V52" s="23">
        <f>IF(AND(COUNT($E52),N(V$2)=N($E52)),$E52,IF(AND(COUNT($E52),N(V$2)&gt;=N($G$2),N(V$2)&lt;N($E52))," ",""))</f>
        <v/>
      </c>
      <c r="W52" s="23">
        <f>IF(AND(COUNT($E52),N(W$2)=N($E52)),$E52,IF(AND(COUNT($E52),N(W$2)&gt;=N($G$2),N(W$2)&lt;N($E52))," ",""))</f>
        <v/>
      </c>
      <c r="X52" s="23">
        <f>IF(AND(COUNT($E52),N(X$2)=N($E52)),$E52,IF(AND(COUNT($E52),N(X$2)&gt;=N($G$2),N(X$2)&lt;N($E52))," ",""))</f>
        <v/>
      </c>
      <c r="Y52" s="23">
        <f>IF(AND(COUNT($E52),N(Y$2)=N($E52)),$E52,IF(AND(COUNT($E52),N(Y$2)&gt;=N($G$2),N(Y$2)&lt;N($E52))," ",""))</f>
        <v/>
      </c>
      <c r="Z52" s="23">
        <f>IF(AND(COUNT($E52),N(Z$2)=N($E52)),$E52,IF(AND(COUNT($E52),N(Z$2)&gt;=N($G$2),N(Z$2)&lt;N($E52))," ",""))</f>
        <v/>
      </c>
      <c r="AA52" s="23">
        <f>IF(AND(COUNT($E52),N(AA$2)=N($E52)),$E52,IF(AND(COUNT($E52),N(AA$2)&gt;=N($G$2),N(AA$2)&lt;N($E52))," ",""))</f>
        <v/>
      </c>
      <c r="AB52" s="23">
        <f>IF(AND(COUNT($E52),N(AB$2)=N($E52)),$E52,IF(AND(COUNT($E52),N(AB$2)&gt;=N($G$2),N(AB$2)&lt;N($E52))," ",""))</f>
        <v/>
      </c>
      <c r="AC52" s="23">
        <f>IF(AND(COUNT($E52),N(AC$2)=N($E52)),$E52,IF(AND(COUNT($E52),N(AC$2)&gt;=N($G$2),N(AC$2)&lt;N($E52))," ",""))</f>
        <v/>
      </c>
      <c r="AD52" s="23">
        <f>IF(AND(COUNT($E52),N(AD$2)=N($E52)),$E52,IF(AND(COUNT($E52),N(AD$2)&gt;=N($G$2),N(AD$2)&lt;N($E52))," ",""))</f>
        <v/>
      </c>
      <c r="AE52" s="23">
        <f>IF(AND(COUNT($E52),N(AE$2)=N($E52)),$E52,IF(AND(COUNT($E52),N(AE$2)&gt;=N($G$2),N(AE$2)&lt;N($E52))," ",""))</f>
        <v/>
      </c>
      <c r="AF52" s="23">
        <f>IF(AND(COUNT($E52),N(AF$2)=N($E52)),$E52,IF(AND(COUNT($E52),N(AF$2)&gt;=N($G$2),N(AF$2)&lt;N($E52))," ",""))</f>
        <v/>
      </c>
      <c r="AG52" s="23">
        <f>IF(AND(COUNT($E52),N(AG$2)=N($E52)),$E52,IF(AND(COUNT($E52),N(AG$2)&gt;=N($G$2),N(AG$2)&lt;N($E52))," ",""))</f>
        <v/>
      </c>
      <c r="AH52" s="23">
        <f>IF(AND(COUNT($E52),N(AH$2)=N($E52)),$E52,IF(AND(COUNT($E52),N(AH$2)&gt;=N($G$2),N(AH$2)&lt;N($E52))," ",""))</f>
        <v/>
      </c>
      <c r="AI52" s="23">
        <f>IF(AND(COUNT($E52),N(AI$2)=N($E52)),$E52,IF(AND(COUNT($E52),N(AI$2)&gt;=N($G$2),N(AI$2)&lt;N($E52))," ",""))</f>
        <v/>
      </c>
      <c r="AJ52" s="23">
        <f>IF(AND(COUNT($E52),N(AJ$2)=N($E52)),$E52,IF(AND(COUNT($E52),N(AJ$2)&gt;=N($G$2),N(AJ$2)&lt;N($E52))," ",""))</f>
        <v/>
      </c>
      <c r="AK52" s="23">
        <f>IF(AND(COUNT($E52),N(AK$2)=N($E52)),$E52,IF(AND(COUNT($E52),N(AK$2)&gt;=N($G$2),N(AK$2)&lt;N($E52))," ",""))</f>
        <v/>
      </c>
      <c r="AL52" s="23">
        <f>IF(AND(COUNT($E52),N(AL$2)=N($E52)),$E52,IF(AND(COUNT($E52),N(AL$2)&gt;=N($G$2),N(AL$2)&lt;N($E52))," ",""))</f>
        <v/>
      </c>
      <c r="AM52" s="23">
        <f>IF(AND(COUNT($E52),N(AM$2)=N($E52)),$E52,IF(AND(COUNT($E52),N(AM$2)&gt;=N($G$2),N(AM$2)&lt;N($E52))," ",""))</f>
        <v/>
      </c>
      <c r="AN52" s="23">
        <f>IF(AND(COUNT($E52),N(AN$2)=N($E52)),$E52,IF(AND(COUNT($E52),N(AN$2)&gt;=N($G$2),N(AN$2)&lt;N($E52))," ",""))</f>
        <v/>
      </c>
      <c r="AO52" s="23">
        <f>IF(AND(COUNT($E52),N(AO$2)=N($E52)),$E52,IF(AND(COUNT($E52),N(AO$2)&gt;=N($G$2),N(AO$2)&lt;N($E52))," ",""))</f>
        <v/>
      </c>
      <c r="AP52" s="23">
        <f>IF(AND(COUNT($E52),N(AP$2)=N($E52)),$E52,IF(AND(COUNT($E52),N(AP$2)&gt;=N($G$2),N(AP$2)&lt;N($E52))," ",""))</f>
        <v/>
      </c>
      <c r="AQ52" s="23">
        <f>IF(AND(COUNT($E52),N(AQ$2)=N($E52)),$E52,IF(AND(COUNT($E52),N(AQ$2)&gt;=N($G$2),N(AQ$2)&lt;N($E52))," ",""))</f>
        <v/>
      </c>
      <c r="AR52" s="23">
        <f>IF(AND(COUNT($E52),N(AR$2)=N($E52)),$E52,IF(AND(COUNT($E52),N(AR$2)&gt;=N($G$2),N(AR$2)&lt;N($E52))," ",""))</f>
        <v/>
      </c>
      <c r="AS52" s="23">
        <f>IF(AND(COUNT($E52),N(AS$2)=N($E52)),$E52,IF(AND(COUNT($E52),N(AS$2)&gt;=N($G$2),N(AS$2)&lt;N($E52))," ",""))</f>
        <v/>
      </c>
      <c r="AT52" s="23">
        <f>IF(AND(COUNT($E52),N(AT$2)=N($E52)),$E52,IF(AND(COUNT($E52),N(AT$2)&gt;=N($G$2),N(AT$2)&lt;N($E52))," ",""))</f>
        <v/>
      </c>
      <c r="AU52" s="23">
        <f>IF(AND(COUNT($E52),N(AU$2)=N($E52)),$E52,IF(AND(COUNT($E52),N(AU$2)&gt;=N($G$2),N(AU$2)&lt;N($E52))," ",""))</f>
        <v/>
      </c>
      <c r="AV52" s="23">
        <f>IF(AND(COUNT($E52),N(AV$2)=N($E52)),$E52,IF(AND(COUNT($E52),N(AV$2)&gt;=N($G$2),N(AV$2)&lt;N($E52))," ",""))</f>
        <v/>
      </c>
      <c r="AW52" s="23">
        <f>IF(AND(COUNT($E52),N(AW$2)=N($E52)),$E52,IF(AND(COUNT($E52),N(AW$2)&gt;=N($G$2),N(AW$2)&lt;N($E52))," ",""))</f>
        <v/>
      </c>
      <c r="AX52" s="23">
        <f>IF(AND(COUNT($E52),N(AX$2)=N($E52)),$E52,IF(AND(COUNT($E52),N(AX$2)&gt;=N($G$2),N(AX$2)&lt;N($E52))," ",""))</f>
        <v/>
      </c>
      <c r="AY52" s="23">
        <f>IF(AND(COUNT($E52),N(AY$2)=N($E52)),$E52,IF(AND(COUNT($E52),N(AY$2)&gt;=N($G$2),N(AY$2)&lt;N($E52))," ",""))</f>
        <v/>
      </c>
      <c r="AZ52" s="23">
        <f>IF(AND(COUNT($E52),N(AZ$2)=N($E52)),$E52,IF(AND(COUNT($E52),N(AZ$2)&gt;=N($G$2),N(AZ$2)&lt;N($E52))," ",""))</f>
        <v/>
      </c>
      <c r="BA52" s="23">
        <f>IF(AND(COUNT($E52),N(BA$2)=N($E52)),$E52,IF(AND(COUNT($E52),N(BA$2)&gt;=N($G$2),N(BA$2)&lt;N($E52))," ",""))</f>
        <v/>
      </c>
      <c r="BB52" s="23">
        <f>IF(AND(COUNT($E52),N(BB$2)=N($E52)),$E52,IF(AND(COUNT($E52),N(BB$2)&gt;=N($G$2),N(BB$2)&lt;N($E52))," ",""))</f>
        <v/>
      </c>
      <c r="BC52" s="23">
        <f>IF(AND(COUNT($E52),N(BC$2)=N($E52)),$E52,IF(AND(COUNT($E52),N(BC$2)&gt;=N($G$2),N(BC$2)&lt;N($E52))," ",""))</f>
        <v/>
      </c>
      <c r="BD52" s="23">
        <f>IF(AND(COUNT($E52),N(BD$2)=N($E52)),$E52,IF(AND(COUNT($E52),N(BD$2)&gt;=N($G$2),N(BD$2)&lt;N($E52))," ",""))</f>
        <v/>
      </c>
      <c r="BE52" s="23">
        <f>IF(AND(COUNT($E52),N(BE$2)=N($E52)),$E52,IF(AND(COUNT($E52),N(BE$2)&gt;=N($G$2),N(BE$2)&lt;N($E52))," ",""))</f>
        <v/>
      </c>
      <c r="BF52" s="23">
        <f>IF(AND(COUNT($E52),N(BF$2)=N($E52)),$E52,IF(AND(COUNT($E52),N(BF$2)&gt;=N($G$2),N(BF$2)&lt;N($E52))," ",""))</f>
        <v/>
      </c>
      <c r="BG52" s="23">
        <f>IF(AND(COUNT($E52),N(BG$2)=N($E52)),$E52,IF(AND(COUNT($E52),N(BG$2)&gt;=N($G$2),N(BG$2)&lt;N($E52))," ",""))</f>
        <v/>
      </c>
      <c r="BH52" s="23">
        <f>IF(AND(COUNT($E52),N(BH$2)=N($E52)),$E52,IF(AND(COUNT($E52),N(BH$2)&gt;=N($G$2),N(BH$2)&lt;N($E52))," ",""))</f>
        <v/>
      </c>
      <c r="BI52" s="23">
        <f>IF(AND(COUNT($E52),N(BI$2)=N($E52)),$E52,IF(AND(COUNT($E52),N(BI$2)&gt;=N($G$2),N(BI$2)&lt;N($E52))," ",""))</f>
        <v/>
      </c>
      <c r="BJ52" s="23">
        <f>IF(AND(COUNT($E52),N(BJ$2)=N($E52)),$E52,IF(AND(COUNT($E52),N(BJ$2)&gt;=N($G$2),N(BJ$2)&lt;N($E52))," ",""))</f>
        <v/>
      </c>
      <c r="BK52" s="23">
        <f>IF(AND(COUNT($E52),N(BK$2)=N($E52)),$E52,IF(AND(COUNT($E52),N(BK$2)&gt;=N($G$2),N(BK$2)&lt;N($E52))," ",""))</f>
        <v/>
      </c>
      <c r="BL52" s="23">
        <f>IF(AND(COUNT($E52),N(BL$2)=N($E52)),$E52,IF(AND(COUNT($E52),N(BL$2)&gt;=N($G$2),N(BL$2)&lt;N($E52))," ",""))</f>
        <v/>
      </c>
      <c r="BM52" s="23">
        <f>IF(AND(COUNT($E52),N(BM$2)=N($E52)),$E52,IF(AND(COUNT($E52),N(BM$2)&gt;=N($G$2),N(BM$2)&lt;N($E52))," ",""))</f>
        <v/>
      </c>
      <c r="BN52" s="23">
        <f>IF(AND(COUNT($E52),N(BN$2)=N($E52)),$E52,IF(AND(COUNT($E52),N(BN$2)&gt;=N($G$2),N(BN$2)&lt;N($E52))," ",""))</f>
        <v/>
      </c>
      <c r="BO52" s="23">
        <f>IF(AND(COUNT($E52),N(BO$2)=N($E52)),$E52,IF(AND(COUNT($E52),N(BO$2)&gt;=N($G$2),N(BO$2)&lt;N($E52))," ",""))</f>
        <v/>
      </c>
      <c r="BP52" s="23">
        <f>IF(AND(COUNT($E52),N(BP$2)=N($E52)),$E52,IF(AND(COUNT($E52),N(BP$2)&gt;=N($G$2),N(BP$2)&lt;N($E52))," ",""))</f>
        <v/>
      </c>
      <c r="BQ52" s="23">
        <f>IF(AND(COUNT($E52),N(BQ$2)=N($E52)),$E52,IF(AND(COUNT($E52),N(BQ$2)&gt;=N($G$2),N(BQ$2)&lt;N($E52))," ",""))</f>
        <v/>
      </c>
      <c r="BR52" s="23">
        <f>IF(AND(COUNT($E52),N(BR$2)=N($E52)),$E52,IF(AND(COUNT($E52),N(BR$2)&gt;=N($G$2),N(BR$2)&lt;N($E52))," ",""))</f>
        <v/>
      </c>
      <c r="BS52" s="23">
        <f>IF(AND(COUNT($E52),N(BS$2)=N($E52)),$E52,IF(AND(COUNT($E52),N(BS$2)&gt;=N($G$2),N(BS$2)&lt;N($E52))," ",""))</f>
        <v/>
      </c>
    </row>
    <row r="53" ht="20" customHeight="1">
      <c r="A53" s="21" t="inlineStr">
        <is>
          <t>预估</t>
        </is>
      </c>
      <c r="B53" s="21" t="inlineStr">
        <is>
          <t>第一期</t>
        </is>
      </c>
      <c r="C53" s="22" t="inlineStr">
        <is>
          <t>PAB142·工装实物到位</t>
        </is>
      </c>
      <c r="D53" s="23">
        <f>'时间节点计划表'!E27</f>
        <v/>
      </c>
      <c r="E53" s="23">
        <f>IF(COUNT('时间节点计划表'!F27),'时间节点计划表'!F27,"")</f>
        <v/>
      </c>
      <c r="F53" s="24" t="inlineStr"/>
      <c r="G53" s="25">
        <f>D53</f>
        <v/>
      </c>
      <c r="H53" s="26" t="n"/>
      <c r="I53" s="26" t="n"/>
      <c r="J53" s="26" t="n"/>
      <c r="K53" s="26" t="n"/>
      <c r="L53" s="26" t="n"/>
      <c r="M53" s="26" t="n"/>
      <c r="N53" s="26" t="n"/>
      <c r="O53" s="26" t="n"/>
      <c r="P53" s="26" t="n"/>
      <c r="Q53" s="26" t="n"/>
      <c r="R53" s="26" t="n"/>
      <c r="S53" s="26" t="n"/>
      <c r="T53" s="26" t="n"/>
      <c r="U53" s="26" t="n"/>
      <c r="V53" s="26" t="n"/>
      <c r="W53" s="26" t="n"/>
      <c r="X53" s="26" t="n"/>
      <c r="Y53" s="26" t="n"/>
      <c r="Z53" s="26" t="n"/>
      <c r="AA53" s="26" t="n"/>
      <c r="AB53" s="26" t="n"/>
      <c r="AC53" s="26" t="n"/>
      <c r="AD53" s="26" t="n"/>
      <c r="AE53" s="26" t="n"/>
      <c r="AF53" s="26" t="n"/>
      <c r="AG53" s="26" t="n"/>
      <c r="AH53" s="26" t="n"/>
      <c r="AI53" s="26" t="n"/>
      <c r="AJ53" s="26" t="n"/>
      <c r="AK53" s="26" t="n"/>
      <c r="AL53" s="26" t="n"/>
      <c r="AM53" s="26" t="n"/>
      <c r="AN53" s="26" t="n"/>
      <c r="AO53" s="26" t="n"/>
      <c r="AP53" s="26" t="n"/>
      <c r="AQ53" s="26" t="n"/>
      <c r="AR53" s="26" t="n"/>
      <c r="AS53" s="26" t="n"/>
      <c r="AT53" s="26" t="n"/>
      <c r="AU53" s="27" t="n"/>
      <c r="AV53" s="28" t="n"/>
      <c r="AW53" s="28" t="n"/>
      <c r="AX53" s="28" t="n"/>
      <c r="AY53" s="28" t="n"/>
      <c r="AZ53" s="28" t="n"/>
      <c r="BA53" s="28" t="n"/>
      <c r="BB53" s="28" t="n"/>
      <c r="BC53" s="28" t="n"/>
      <c r="BD53" s="28" t="n"/>
      <c r="BE53" s="28" t="n"/>
      <c r="BF53" s="28" t="n"/>
      <c r="BG53" s="28" t="n"/>
      <c r="BH53" s="28" t="n"/>
      <c r="BI53" s="28" t="n"/>
      <c r="BJ53" s="28" t="n"/>
      <c r="BK53" s="28" t="n"/>
      <c r="BL53" s="28" t="n"/>
      <c r="BM53" s="28" t="n"/>
      <c r="BN53" s="28" t="n"/>
      <c r="BO53" s="28" t="n"/>
      <c r="BP53" s="28" t="n"/>
      <c r="BQ53" s="28" t="n"/>
      <c r="BR53" s="28" t="n"/>
      <c r="BS53" s="28" t="n"/>
    </row>
    <row r="54" ht="20" customHeight="1">
      <c r="A54" s="29" t="inlineStr">
        <is>
          <t>实际</t>
        </is>
      </c>
      <c r="B54" s="29" t="inlineStr">
        <is>
          <t>第一期</t>
        </is>
      </c>
      <c r="C54" s="30" t="inlineStr">
        <is>
          <t>PAB142·工装实物到位</t>
        </is>
      </c>
      <c r="D54" s="31">
        <f>'时间节点计划表'!E27</f>
        <v/>
      </c>
      <c r="E54" s="31">
        <f>IF(COUNT('时间节点计划表'!F27),'时间节点计划表'!F27,"")</f>
        <v/>
      </c>
      <c r="F54" s="32">
        <f>IF(OR(D54="",E54=""),"待填",E54-D54)</f>
        <v/>
      </c>
      <c r="G54" s="23">
        <f>IF(AND(COUNT($E54),N(G$2)=N($E54)),$E54,IF(AND(COUNT($E54),N(G$2)&gt;=N($G$2),N(G$2)&lt;N($E54))," ",""))</f>
        <v/>
      </c>
      <c r="H54" s="23">
        <f>IF(AND(COUNT($E54),N(H$2)=N($E54)),$E54,IF(AND(COUNT($E54),N(H$2)&gt;=N($G$2),N(H$2)&lt;N($E54))," ",""))</f>
        <v/>
      </c>
      <c r="I54" s="23">
        <f>IF(AND(COUNT($E54),N(I$2)=N($E54)),$E54,IF(AND(COUNT($E54),N(I$2)&gt;=N($G$2),N(I$2)&lt;N($E54))," ",""))</f>
        <v/>
      </c>
      <c r="J54" s="23">
        <f>IF(AND(COUNT($E54),N(J$2)=N($E54)),$E54,IF(AND(COUNT($E54),N(J$2)&gt;=N($G$2),N(J$2)&lt;N($E54))," ",""))</f>
        <v/>
      </c>
      <c r="K54" s="23">
        <f>IF(AND(COUNT($E54),N(K$2)=N($E54)),$E54,IF(AND(COUNT($E54),N(K$2)&gt;=N($G$2),N(K$2)&lt;N($E54))," ",""))</f>
        <v/>
      </c>
      <c r="L54" s="23">
        <f>IF(AND(COUNT($E54),N(L$2)=N($E54)),$E54,IF(AND(COUNT($E54),N(L$2)&gt;=N($G$2),N(L$2)&lt;N($E54))," ",""))</f>
        <v/>
      </c>
      <c r="M54" s="23">
        <f>IF(AND(COUNT($E54),N(M$2)=N($E54)),$E54,IF(AND(COUNT($E54),N(M$2)&gt;=N($G$2),N(M$2)&lt;N($E54))," ",""))</f>
        <v/>
      </c>
      <c r="N54" s="23">
        <f>IF(AND(COUNT($E54),N(N$2)=N($E54)),$E54,IF(AND(COUNT($E54),N(N$2)&gt;=N($G$2),N(N$2)&lt;N($E54))," ",""))</f>
        <v/>
      </c>
      <c r="O54" s="23">
        <f>IF(AND(COUNT($E54),N(O$2)=N($E54)),$E54,IF(AND(COUNT($E54),N(O$2)&gt;=N($G$2),N(O$2)&lt;N($E54))," ",""))</f>
        <v/>
      </c>
      <c r="P54" s="23">
        <f>IF(AND(COUNT($E54),N(P$2)=N($E54)),$E54,IF(AND(COUNT($E54),N(P$2)&gt;=N($G$2),N(P$2)&lt;N($E54))," ",""))</f>
        <v/>
      </c>
      <c r="Q54" s="23">
        <f>IF(AND(COUNT($E54),N(Q$2)=N($E54)),$E54,IF(AND(COUNT($E54),N(Q$2)&gt;=N($G$2),N(Q$2)&lt;N($E54))," ",""))</f>
        <v/>
      </c>
      <c r="R54" s="23">
        <f>IF(AND(COUNT($E54),N(R$2)=N($E54)),$E54,IF(AND(COUNT($E54),N(R$2)&gt;=N($G$2),N(R$2)&lt;N($E54))," ",""))</f>
        <v/>
      </c>
      <c r="S54" s="23">
        <f>IF(AND(COUNT($E54),N(S$2)=N($E54)),$E54,IF(AND(COUNT($E54),N(S$2)&gt;=N($G$2),N(S$2)&lt;N($E54))," ",""))</f>
        <v/>
      </c>
      <c r="T54" s="23">
        <f>IF(AND(COUNT($E54),N(T$2)=N($E54)),$E54,IF(AND(COUNT($E54),N(T$2)&gt;=N($G$2),N(T$2)&lt;N($E54))," ",""))</f>
        <v/>
      </c>
      <c r="U54" s="23">
        <f>IF(AND(COUNT($E54),N(U$2)=N($E54)),$E54,IF(AND(COUNT($E54),N(U$2)&gt;=N($G$2),N(U$2)&lt;N($E54))," ",""))</f>
        <v/>
      </c>
      <c r="V54" s="23">
        <f>IF(AND(COUNT($E54),N(V$2)=N($E54)),$E54,IF(AND(COUNT($E54),N(V$2)&gt;=N($G$2),N(V$2)&lt;N($E54))," ",""))</f>
        <v/>
      </c>
      <c r="W54" s="23">
        <f>IF(AND(COUNT($E54),N(W$2)=N($E54)),$E54,IF(AND(COUNT($E54),N(W$2)&gt;=N($G$2),N(W$2)&lt;N($E54))," ",""))</f>
        <v/>
      </c>
      <c r="X54" s="23">
        <f>IF(AND(COUNT($E54),N(X$2)=N($E54)),$E54,IF(AND(COUNT($E54),N(X$2)&gt;=N($G$2),N(X$2)&lt;N($E54))," ",""))</f>
        <v/>
      </c>
      <c r="Y54" s="23">
        <f>IF(AND(COUNT($E54),N(Y$2)=N($E54)),$E54,IF(AND(COUNT($E54),N(Y$2)&gt;=N($G$2),N(Y$2)&lt;N($E54))," ",""))</f>
        <v/>
      </c>
      <c r="Z54" s="23">
        <f>IF(AND(COUNT($E54),N(Z$2)=N($E54)),$E54,IF(AND(COUNT($E54),N(Z$2)&gt;=N($G$2),N(Z$2)&lt;N($E54))," ",""))</f>
        <v/>
      </c>
      <c r="AA54" s="23">
        <f>IF(AND(COUNT($E54),N(AA$2)=N($E54)),$E54,IF(AND(COUNT($E54),N(AA$2)&gt;=N($G$2),N(AA$2)&lt;N($E54))," ",""))</f>
        <v/>
      </c>
      <c r="AB54" s="23">
        <f>IF(AND(COUNT($E54),N(AB$2)=N($E54)),$E54,IF(AND(COUNT($E54),N(AB$2)&gt;=N($G$2),N(AB$2)&lt;N($E54))," ",""))</f>
        <v/>
      </c>
      <c r="AC54" s="23">
        <f>IF(AND(COUNT($E54),N(AC$2)=N($E54)),$E54,IF(AND(COUNT($E54),N(AC$2)&gt;=N($G$2),N(AC$2)&lt;N($E54))," ",""))</f>
        <v/>
      </c>
      <c r="AD54" s="23">
        <f>IF(AND(COUNT($E54),N(AD$2)=N($E54)),$E54,IF(AND(COUNT($E54),N(AD$2)&gt;=N($G$2),N(AD$2)&lt;N($E54))," ",""))</f>
        <v/>
      </c>
      <c r="AE54" s="23">
        <f>IF(AND(COUNT($E54),N(AE$2)=N($E54)),$E54,IF(AND(COUNT($E54),N(AE$2)&gt;=N($G$2),N(AE$2)&lt;N($E54))," ",""))</f>
        <v/>
      </c>
      <c r="AF54" s="23">
        <f>IF(AND(COUNT($E54),N(AF$2)=N($E54)),$E54,IF(AND(COUNT($E54),N(AF$2)&gt;=N($G$2),N(AF$2)&lt;N($E54))," ",""))</f>
        <v/>
      </c>
      <c r="AG54" s="23">
        <f>IF(AND(COUNT($E54),N(AG$2)=N($E54)),$E54,IF(AND(COUNT($E54),N(AG$2)&gt;=N($G$2),N(AG$2)&lt;N($E54))," ",""))</f>
        <v/>
      </c>
      <c r="AH54" s="23">
        <f>IF(AND(COUNT($E54),N(AH$2)=N($E54)),$E54,IF(AND(COUNT($E54),N(AH$2)&gt;=N($G$2),N(AH$2)&lt;N($E54))," ",""))</f>
        <v/>
      </c>
      <c r="AI54" s="23">
        <f>IF(AND(COUNT($E54),N(AI$2)=N($E54)),$E54,IF(AND(COUNT($E54),N(AI$2)&gt;=N($G$2),N(AI$2)&lt;N($E54))," ",""))</f>
        <v/>
      </c>
      <c r="AJ54" s="23">
        <f>IF(AND(COUNT($E54),N(AJ$2)=N($E54)),$E54,IF(AND(COUNT($E54),N(AJ$2)&gt;=N($G$2),N(AJ$2)&lt;N($E54))," ",""))</f>
        <v/>
      </c>
      <c r="AK54" s="23">
        <f>IF(AND(COUNT($E54),N(AK$2)=N($E54)),$E54,IF(AND(COUNT($E54),N(AK$2)&gt;=N($G$2),N(AK$2)&lt;N($E54))," ",""))</f>
        <v/>
      </c>
      <c r="AL54" s="23">
        <f>IF(AND(COUNT($E54),N(AL$2)=N($E54)),$E54,IF(AND(COUNT($E54),N(AL$2)&gt;=N($G$2),N(AL$2)&lt;N($E54))," ",""))</f>
        <v/>
      </c>
      <c r="AM54" s="23">
        <f>IF(AND(COUNT($E54),N(AM$2)=N($E54)),$E54,IF(AND(COUNT($E54),N(AM$2)&gt;=N($G$2),N(AM$2)&lt;N($E54))," ",""))</f>
        <v/>
      </c>
      <c r="AN54" s="23">
        <f>IF(AND(COUNT($E54),N(AN$2)=N($E54)),$E54,IF(AND(COUNT($E54),N(AN$2)&gt;=N($G$2),N(AN$2)&lt;N($E54))," ",""))</f>
        <v/>
      </c>
      <c r="AO54" s="23">
        <f>IF(AND(COUNT($E54),N(AO$2)=N($E54)),$E54,IF(AND(COUNT($E54),N(AO$2)&gt;=N($G$2),N(AO$2)&lt;N($E54))," ",""))</f>
        <v/>
      </c>
      <c r="AP54" s="23">
        <f>IF(AND(COUNT($E54),N(AP$2)=N($E54)),$E54,IF(AND(COUNT($E54),N(AP$2)&gt;=N($G$2),N(AP$2)&lt;N($E54))," ",""))</f>
        <v/>
      </c>
      <c r="AQ54" s="23">
        <f>IF(AND(COUNT($E54),N(AQ$2)=N($E54)),$E54,IF(AND(COUNT($E54),N(AQ$2)&gt;=N($G$2),N(AQ$2)&lt;N($E54))," ",""))</f>
        <v/>
      </c>
      <c r="AR54" s="23">
        <f>IF(AND(COUNT($E54),N(AR$2)=N($E54)),$E54,IF(AND(COUNT($E54),N(AR$2)&gt;=N($G$2),N(AR$2)&lt;N($E54))," ",""))</f>
        <v/>
      </c>
      <c r="AS54" s="23">
        <f>IF(AND(COUNT($E54),N(AS$2)=N($E54)),$E54,IF(AND(COUNT($E54),N(AS$2)&gt;=N($G$2),N(AS$2)&lt;N($E54))," ",""))</f>
        <v/>
      </c>
      <c r="AT54" s="23">
        <f>IF(AND(COUNT($E54),N(AT$2)=N($E54)),$E54,IF(AND(COUNT($E54),N(AT$2)&gt;=N($G$2),N(AT$2)&lt;N($E54))," ",""))</f>
        <v/>
      </c>
      <c r="AU54" s="23">
        <f>IF(AND(COUNT($E54),N(AU$2)=N($E54)),$E54,IF(AND(COUNT($E54),N(AU$2)&gt;=N($G$2),N(AU$2)&lt;N($E54))," ",""))</f>
        <v/>
      </c>
      <c r="AV54" s="23">
        <f>IF(AND(COUNT($E54),N(AV$2)=N($E54)),$E54,IF(AND(COUNT($E54),N(AV$2)&gt;=N($G$2),N(AV$2)&lt;N($E54))," ",""))</f>
        <v/>
      </c>
      <c r="AW54" s="23">
        <f>IF(AND(COUNT($E54),N(AW$2)=N($E54)),$E54,IF(AND(COUNT($E54),N(AW$2)&gt;=N($G$2),N(AW$2)&lt;N($E54))," ",""))</f>
        <v/>
      </c>
      <c r="AX54" s="23">
        <f>IF(AND(COUNT($E54),N(AX$2)=N($E54)),$E54,IF(AND(COUNT($E54),N(AX$2)&gt;=N($G$2),N(AX$2)&lt;N($E54))," ",""))</f>
        <v/>
      </c>
      <c r="AY54" s="23">
        <f>IF(AND(COUNT($E54),N(AY$2)=N($E54)),$E54,IF(AND(COUNT($E54),N(AY$2)&gt;=N($G$2),N(AY$2)&lt;N($E54))," ",""))</f>
        <v/>
      </c>
      <c r="AZ54" s="23">
        <f>IF(AND(COUNT($E54),N(AZ$2)=N($E54)),$E54,IF(AND(COUNT($E54),N(AZ$2)&gt;=N($G$2),N(AZ$2)&lt;N($E54))," ",""))</f>
        <v/>
      </c>
      <c r="BA54" s="23">
        <f>IF(AND(COUNT($E54),N(BA$2)=N($E54)),$E54,IF(AND(COUNT($E54),N(BA$2)&gt;=N($G$2),N(BA$2)&lt;N($E54))," ",""))</f>
        <v/>
      </c>
      <c r="BB54" s="23">
        <f>IF(AND(COUNT($E54),N(BB$2)=N($E54)),$E54,IF(AND(COUNT($E54),N(BB$2)&gt;=N($G$2),N(BB$2)&lt;N($E54))," ",""))</f>
        <v/>
      </c>
      <c r="BC54" s="23">
        <f>IF(AND(COUNT($E54),N(BC$2)=N($E54)),$E54,IF(AND(COUNT($E54),N(BC$2)&gt;=N($G$2),N(BC$2)&lt;N($E54))," ",""))</f>
        <v/>
      </c>
      <c r="BD54" s="23">
        <f>IF(AND(COUNT($E54),N(BD$2)=N($E54)),$E54,IF(AND(COUNT($E54),N(BD$2)&gt;=N($G$2),N(BD$2)&lt;N($E54))," ",""))</f>
        <v/>
      </c>
      <c r="BE54" s="23">
        <f>IF(AND(COUNT($E54),N(BE$2)=N($E54)),$E54,IF(AND(COUNT($E54),N(BE$2)&gt;=N($G$2),N(BE$2)&lt;N($E54))," ",""))</f>
        <v/>
      </c>
      <c r="BF54" s="23">
        <f>IF(AND(COUNT($E54),N(BF$2)=N($E54)),$E54,IF(AND(COUNT($E54),N(BF$2)&gt;=N($G$2),N(BF$2)&lt;N($E54))," ",""))</f>
        <v/>
      </c>
      <c r="BG54" s="23">
        <f>IF(AND(COUNT($E54),N(BG$2)=N($E54)),$E54,IF(AND(COUNT($E54),N(BG$2)&gt;=N($G$2),N(BG$2)&lt;N($E54))," ",""))</f>
        <v/>
      </c>
      <c r="BH54" s="23">
        <f>IF(AND(COUNT($E54),N(BH$2)=N($E54)),$E54,IF(AND(COUNT($E54),N(BH$2)&gt;=N($G$2),N(BH$2)&lt;N($E54))," ",""))</f>
        <v/>
      </c>
      <c r="BI54" s="23">
        <f>IF(AND(COUNT($E54),N(BI$2)=N($E54)),$E54,IF(AND(COUNT($E54),N(BI$2)&gt;=N($G$2),N(BI$2)&lt;N($E54))," ",""))</f>
        <v/>
      </c>
      <c r="BJ54" s="23">
        <f>IF(AND(COUNT($E54),N(BJ$2)=N($E54)),$E54,IF(AND(COUNT($E54),N(BJ$2)&gt;=N($G$2),N(BJ$2)&lt;N($E54))," ",""))</f>
        <v/>
      </c>
      <c r="BK54" s="23">
        <f>IF(AND(COUNT($E54),N(BK$2)=N($E54)),$E54,IF(AND(COUNT($E54),N(BK$2)&gt;=N($G$2),N(BK$2)&lt;N($E54))," ",""))</f>
        <v/>
      </c>
      <c r="BL54" s="23">
        <f>IF(AND(COUNT($E54),N(BL$2)=N($E54)),$E54,IF(AND(COUNT($E54),N(BL$2)&gt;=N($G$2),N(BL$2)&lt;N($E54))," ",""))</f>
        <v/>
      </c>
      <c r="BM54" s="23">
        <f>IF(AND(COUNT($E54),N(BM$2)=N($E54)),$E54,IF(AND(COUNT($E54),N(BM$2)&gt;=N($G$2),N(BM$2)&lt;N($E54))," ",""))</f>
        <v/>
      </c>
      <c r="BN54" s="23">
        <f>IF(AND(COUNT($E54),N(BN$2)=N($E54)),$E54,IF(AND(COUNT($E54),N(BN$2)&gt;=N($G$2),N(BN$2)&lt;N($E54))," ",""))</f>
        <v/>
      </c>
      <c r="BO54" s="23">
        <f>IF(AND(COUNT($E54),N(BO$2)=N($E54)),$E54,IF(AND(COUNT($E54),N(BO$2)&gt;=N($G$2),N(BO$2)&lt;N($E54))," ",""))</f>
        <v/>
      </c>
      <c r="BP54" s="23">
        <f>IF(AND(COUNT($E54),N(BP$2)=N($E54)),$E54,IF(AND(COUNT($E54),N(BP$2)&gt;=N($G$2),N(BP$2)&lt;N($E54))," ",""))</f>
        <v/>
      </c>
      <c r="BQ54" s="23">
        <f>IF(AND(COUNT($E54),N(BQ$2)=N($E54)),$E54,IF(AND(COUNT($E54),N(BQ$2)&gt;=N($G$2),N(BQ$2)&lt;N($E54))," ",""))</f>
        <v/>
      </c>
      <c r="BR54" s="23">
        <f>IF(AND(COUNT($E54),N(BR$2)=N($E54)),$E54,IF(AND(COUNT($E54),N(BR$2)&gt;=N($G$2),N(BR$2)&lt;N($E54))," ",""))</f>
        <v/>
      </c>
      <c r="BS54" s="23">
        <f>IF(AND(COUNT($E54),N(BS$2)=N($E54)),$E54,IF(AND(COUNT($E54),N(BS$2)&gt;=N($G$2),N(BS$2)&lt;N($E54))," ",""))</f>
        <v/>
      </c>
    </row>
    <row r="55" ht="20" customHeight="1">
      <c r="A55" s="21" t="inlineStr">
        <is>
          <t>预估</t>
        </is>
      </c>
      <c r="B55" s="21" t="inlineStr">
        <is>
          <t>第一期</t>
        </is>
      </c>
      <c r="C55" s="22" t="inlineStr">
        <is>
          <t>PAB142·排针机安装调试</t>
        </is>
      </c>
      <c r="D55" s="23">
        <f>'时间节点计划表'!E28</f>
        <v/>
      </c>
      <c r="E55" s="23">
        <f>IF(COUNT('时间节点计划表'!F28),'时间节点计划表'!F28,"")</f>
        <v/>
      </c>
      <c r="F55" s="24" t="inlineStr"/>
      <c r="G55" s="25">
        <f>D55</f>
        <v/>
      </c>
      <c r="H55" s="26" t="n"/>
      <c r="I55" s="26" t="n"/>
      <c r="J55" s="26" t="n"/>
      <c r="K55" s="26" t="n"/>
      <c r="L55" s="26" t="n"/>
      <c r="M55" s="26" t="n"/>
      <c r="N55" s="26" t="n"/>
      <c r="O55" s="26" t="n"/>
      <c r="P55" s="26" t="n"/>
      <c r="Q55" s="26" t="n"/>
      <c r="R55" s="26" t="n"/>
      <c r="S55" s="26" t="n"/>
      <c r="T55" s="26" t="n"/>
      <c r="U55" s="26" t="n"/>
      <c r="V55" s="26" t="n"/>
      <c r="W55" s="26" t="n"/>
      <c r="X55" s="26" t="n"/>
      <c r="Y55" s="26" t="n"/>
      <c r="Z55" s="26" t="n"/>
      <c r="AA55" s="26" t="n"/>
      <c r="AB55" s="26" t="n"/>
      <c r="AC55" s="26" t="n"/>
      <c r="AD55" s="26" t="n"/>
      <c r="AE55" s="26" t="n"/>
      <c r="AF55" s="26" t="n"/>
      <c r="AG55" s="26" t="n"/>
      <c r="AH55" s="26" t="n"/>
      <c r="AI55" s="26" t="n"/>
      <c r="AJ55" s="26" t="n"/>
      <c r="AK55" s="26" t="n"/>
      <c r="AL55" s="26" t="n"/>
      <c r="AM55" s="26" t="n"/>
      <c r="AN55" s="26" t="n"/>
      <c r="AO55" s="26" t="n"/>
      <c r="AP55" s="26" t="n"/>
      <c r="AQ55" s="26" t="n"/>
      <c r="AR55" s="26" t="n"/>
      <c r="AS55" s="26" t="n"/>
      <c r="AT55" s="26" t="n"/>
      <c r="AU55" s="26" t="n"/>
      <c r="AV55" s="26" t="n"/>
      <c r="AW55" s="26" t="n"/>
      <c r="AX55" s="26" t="n"/>
      <c r="AY55" s="26" t="n"/>
      <c r="AZ55" s="26" t="n"/>
      <c r="BA55" s="26" t="n"/>
      <c r="BB55" s="26" t="n"/>
      <c r="BC55" s="26" t="n"/>
      <c r="BD55" s="26" t="n"/>
      <c r="BE55" s="26" t="n"/>
      <c r="BF55" s="26" t="n"/>
      <c r="BG55" s="26" t="n"/>
      <c r="BH55" s="27" t="n"/>
      <c r="BI55" s="28" t="n"/>
      <c r="BJ55" s="28" t="n"/>
      <c r="BK55" s="28" t="n"/>
      <c r="BL55" s="28" t="n"/>
      <c r="BM55" s="28" t="n"/>
      <c r="BN55" s="28" t="n"/>
      <c r="BO55" s="28" t="n"/>
      <c r="BP55" s="28" t="n"/>
      <c r="BQ55" s="28" t="n"/>
      <c r="BR55" s="28" t="n"/>
      <c r="BS55" s="28" t="n"/>
    </row>
    <row r="56" ht="20" customHeight="1">
      <c r="A56" s="29" t="inlineStr">
        <is>
          <t>实际</t>
        </is>
      </c>
      <c r="B56" s="29" t="inlineStr">
        <is>
          <t>第一期</t>
        </is>
      </c>
      <c r="C56" s="30" t="inlineStr">
        <is>
          <t>PAB142·排针机安装调试</t>
        </is>
      </c>
      <c r="D56" s="31">
        <f>'时间节点计划表'!E28</f>
        <v/>
      </c>
      <c r="E56" s="31">
        <f>IF(COUNT('时间节点计划表'!F28),'时间节点计划表'!F28,"")</f>
        <v/>
      </c>
      <c r="F56" s="32">
        <f>IF(OR(D56="",E56=""),"待填",E56-D56)</f>
        <v/>
      </c>
      <c r="G56" s="23">
        <f>IF(AND(COUNT($E56),N(G$2)=N($E56)),$E56,IF(AND(COUNT($E56),N(G$2)&gt;=N($G$2),N(G$2)&lt;N($E56))," ",""))</f>
        <v/>
      </c>
      <c r="H56" s="23">
        <f>IF(AND(COUNT($E56),N(H$2)=N($E56)),$E56,IF(AND(COUNT($E56),N(H$2)&gt;=N($G$2),N(H$2)&lt;N($E56))," ",""))</f>
        <v/>
      </c>
      <c r="I56" s="23">
        <f>IF(AND(COUNT($E56),N(I$2)=N($E56)),$E56,IF(AND(COUNT($E56),N(I$2)&gt;=N($G$2),N(I$2)&lt;N($E56))," ",""))</f>
        <v/>
      </c>
      <c r="J56" s="23">
        <f>IF(AND(COUNT($E56),N(J$2)=N($E56)),$E56,IF(AND(COUNT($E56),N(J$2)&gt;=N($G$2),N(J$2)&lt;N($E56))," ",""))</f>
        <v/>
      </c>
      <c r="K56" s="23">
        <f>IF(AND(COUNT($E56),N(K$2)=N($E56)),$E56,IF(AND(COUNT($E56),N(K$2)&gt;=N($G$2),N(K$2)&lt;N($E56))," ",""))</f>
        <v/>
      </c>
      <c r="L56" s="23">
        <f>IF(AND(COUNT($E56),N(L$2)=N($E56)),$E56,IF(AND(COUNT($E56),N(L$2)&gt;=N($G$2),N(L$2)&lt;N($E56))," ",""))</f>
        <v/>
      </c>
      <c r="M56" s="23">
        <f>IF(AND(COUNT($E56),N(M$2)=N($E56)),$E56,IF(AND(COUNT($E56),N(M$2)&gt;=N($G$2),N(M$2)&lt;N($E56))," ",""))</f>
        <v/>
      </c>
      <c r="N56" s="23">
        <f>IF(AND(COUNT($E56),N(N$2)=N($E56)),$E56,IF(AND(COUNT($E56),N(N$2)&gt;=N($G$2),N(N$2)&lt;N($E56))," ",""))</f>
        <v/>
      </c>
      <c r="O56" s="23">
        <f>IF(AND(COUNT($E56),N(O$2)=N($E56)),$E56,IF(AND(COUNT($E56),N(O$2)&gt;=N($G$2),N(O$2)&lt;N($E56))," ",""))</f>
        <v/>
      </c>
      <c r="P56" s="23">
        <f>IF(AND(COUNT($E56),N(P$2)=N($E56)),$E56,IF(AND(COUNT($E56),N(P$2)&gt;=N($G$2),N(P$2)&lt;N($E56))," ",""))</f>
        <v/>
      </c>
      <c r="Q56" s="23">
        <f>IF(AND(COUNT($E56),N(Q$2)=N($E56)),$E56,IF(AND(COUNT($E56),N(Q$2)&gt;=N($G$2),N(Q$2)&lt;N($E56))," ",""))</f>
        <v/>
      </c>
      <c r="R56" s="23">
        <f>IF(AND(COUNT($E56),N(R$2)=N($E56)),$E56,IF(AND(COUNT($E56),N(R$2)&gt;=N($G$2),N(R$2)&lt;N($E56))," ",""))</f>
        <v/>
      </c>
      <c r="S56" s="23">
        <f>IF(AND(COUNT($E56),N(S$2)=N($E56)),$E56,IF(AND(COUNT($E56),N(S$2)&gt;=N($G$2),N(S$2)&lt;N($E56))," ",""))</f>
        <v/>
      </c>
      <c r="T56" s="23">
        <f>IF(AND(COUNT($E56),N(T$2)=N($E56)),$E56,IF(AND(COUNT($E56),N(T$2)&gt;=N($G$2),N(T$2)&lt;N($E56))," ",""))</f>
        <v/>
      </c>
      <c r="U56" s="23">
        <f>IF(AND(COUNT($E56),N(U$2)=N($E56)),$E56,IF(AND(COUNT($E56),N(U$2)&gt;=N($G$2),N(U$2)&lt;N($E56))," ",""))</f>
        <v/>
      </c>
      <c r="V56" s="23">
        <f>IF(AND(COUNT($E56),N(V$2)=N($E56)),$E56,IF(AND(COUNT($E56),N(V$2)&gt;=N($G$2),N(V$2)&lt;N($E56))," ",""))</f>
        <v/>
      </c>
      <c r="W56" s="23">
        <f>IF(AND(COUNT($E56),N(W$2)=N($E56)),$E56,IF(AND(COUNT($E56),N(W$2)&gt;=N($G$2),N(W$2)&lt;N($E56))," ",""))</f>
        <v/>
      </c>
      <c r="X56" s="23">
        <f>IF(AND(COUNT($E56),N(X$2)=N($E56)),$E56,IF(AND(COUNT($E56),N(X$2)&gt;=N($G$2),N(X$2)&lt;N($E56))," ",""))</f>
        <v/>
      </c>
      <c r="Y56" s="23">
        <f>IF(AND(COUNT($E56),N(Y$2)=N($E56)),$E56,IF(AND(COUNT($E56),N(Y$2)&gt;=N($G$2),N(Y$2)&lt;N($E56))," ",""))</f>
        <v/>
      </c>
      <c r="Z56" s="23">
        <f>IF(AND(COUNT($E56),N(Z$2)=N($E56)),$E56,IF(AND(COUNT($E56),N(Z$2)&gt;=N($G$2),N(Z$2)&lt;N($E56))," ",""))</f>
        <v/>
      </c>
      <c r="AA56" s="23">
        <f>IF(AND(COUNT($E56),N(AA$2)=N($E56)),$E56,IF(AND(COUNT($E56),N(AA$2)&gt;=N($G$2),N(AA$2)&lt;N($E56))," ",""))</f>
        <v/>
      </c>
      <c r="AB56" s="23">
        <f>IF(AND(COUNT($E56),N(AB$2)=N($E56)),$E56,IF(AND(COUNT($E56),N(AB$2)&gt;=N($G$2),N(AB$2)&lt;N($E56))," ",""))</f>
        <v/>
      </c>
      <c r="AC56" s="23">
        <f>IF(AND(COUNT($E56),N(AC$2)=N($E56)),$E56,IF(AND(COUNT($E56),N(AC$2)&gt;=N($G$2),N(AC$2)&lt;N($E56))," ",""))</f>
        <v/>
      </c>
      <c r="AD56" s="23">
        <f>IF(AND(COUNT($E56),N(AD$2)=N($E56)),$E56,IF(AND(COUNT($E56),N(AD$2)&gt;=N($G$2),N(AD$2)&lt;N($E56))," ",""))</f>
        <v/>
      </c>
      <c r="AE56" s="23">
        <f>IF(AND(COUNT($E56),N(AE$2)=N($E56)),$E56,IF(AND(COUNT($E56),N(AE$2)&gt;=N($G$2),N(AE$2)&lt;N($E56))," ",""))</f>
        <v/>
      </c>
      <c r="AF56" s="23">
        <f>IF(AND(COUNT($E56),N(AF$2)=N($E56)),$E56,IF(AND(COUNT($E56),N(AF$2)&gt;=N($G$2),N(AF$2)&lt;N($E56))," ",""))</f>
        <v/>
      </c>
      <c r="AG56" s="23">
        <f>IF(AND(COUNT($E56),N(AG$2)=N($E56)),$E56,IF(AND(COUNT($E56),N(AG$2)&gt;=N($G$2),N(AG$2)&lt;N($E56))," ",""))</f>
        <v/>
      </c>
      <c r="AH56" s="23">
        <f>IF(AND(COUNT($E56),N(AH$2)=N($E56)),$E56,IF(AND(COUNT($E56),N(AH$2)&gt;=N($G$2),N(AH$2)&lt;N($E56))," ",""))</f>
        <v/>
      </c>
      <c r="AI56" s="23">
        <f>IF(AND(COUNT($E56),N(AI$2)=N($E56)),$E56,IF(AND(COUNT($E56),N(AI$2)&gt;=N($G$2),N(AI$2)&lt;N($E56))," ",""))</f>
        <v/>
      </c>
      <c r="AJ56" s="23">
        <f>IF(AND(COUNT($E56),N(AJ$2)=N($E56)),$E56,IF(AND(COUNT($E56),N(AJ$2)&gt;=N($G$2),N(AJ$2)&lt;N($E56))," ",""))</f>
        <v/>
      </c>
      <c r="AK56" s="23">
        <f>IF(AND(COUNT($E56),N(AK$2)=N($E56)),$E56,IF(AND(COUNT($E56),N(AK$2)&gt;=N($G$2),N(AK$2)&lt;N($E56))," ",""))</f>
        <v/>
      </c>
      <c r="AL56" s="23">
        <f>IF(AND(COUNT($E56),N(AL$2)=N($E56)),$E56,IF(AND(COUNT($E56),N(AL$2)&gt;=N($G$2),N(AL$2)&lt;N($E56))," ",""))</f>
        <v/>
      </c>
      <c r="AM56" s="23">
        <f>IF(AND(COUNT($E56),N(AM$2)=N($E56)),$E56,IF(AND(COUNT($E56),N(AM$2)&gt;=N($G$2),N(AM$2)&lt;N($E56))," ",""))</f>
        <v/>
      </c>
      <c r="AN56" s="23">
        <f>IF(AND(COUNT($E56),N(AN$2)=N($E56)),$E56,IF(AND(COUNT($E56),N(AN$2)&gt;=N($G$2),N(AN$2)&lt;N($E56))," ",""))</f>
        <v/>
      </c>
      <c r="AO56" s="23">
        <f>IF(AND(COUNT($E56),N(AO$2)=N($E56)),$E56,IF(AND(COUNT($E56),N(AO$2)&gt;=N($G$2),N(AO$2)&lt;N($E56))," ",""))</f>
        <v/>
      </c>
      <c r="AP56" s="23">
        <f>IF(AND(COUNT($E56),N(AP$2)=N($E56)),$E56,IF(AND(COUNT($E56),N(AP$2)&gt;=N($G$2),N(AP$2)&lt;N($E56))," ",""))</f>
        <v/>
      </c>
      <c r="AQ56" s="23">
        <f>IF(AND(COUNT($E56),N(AQ$2)=N($E56)),$E56,IF(AND(COUNT($E56),N(AQ$2)&gt;=N($G$2),N(AQ$2)&lt;N($E56))," ",""))</f>
        <v/>
      </c>
      <c r="AR56" s="23">
        <f>IF(AND(COUNT($E56),N(AR$2)=N($E56)),$E56,IF(AND(COUNT($E56),N(AR$2)&gt;=N($G$2),N(AR$2)&lt;N($E56))," ",""))</f>
        <v/>
      </c>
      <c r="AS56" s="23">
        <f>IF(AND(COUNT($E56),N(AS$2)=N($E56)),$E56,IF(AND(COUNT($E56),N(AS$2)&gt;=N($G$2),N(AS$2)&lt;N($E56))," ",""))</f>
        <v/>
      </c>
      <c r="AT56" s="23">
        <f>IF(AND(COUNT($E56),N(AT$2)=N($E56)),$E56,IF(AND(COUNT($E56),N(AT$2)&gt;=N($G$2),N(AT$2)&lt;N($E56))," ",""))</f>
        <v/>
      </c>
      <c r="AU56" s="23">
        <f>IF(AND(COUNT($E56),N(AU$2)=N($E56)),$E56,IF(AND(COUNT($E56),N(AU$2)&gt;=N($G$2),N(AU$2)&lt;N($E56))," ",""))</f>
        <v/>
      </c>
      <c r="AV56" s="23">
        <f>IF(AND(COUNT($E56),N(AV$2)=N($E56)),$E56,IF(AND(COUNT($E56),N(AV$2)&gt;=N($G$2),N(AV$2)&lt;N($E56))," ",""))</f>
        <v/>
      </c>
      <c r="AW56" s="23">
        <f>IF(AND(COUNT($E56),N(AW$2)=N($E56)),$E56,IF(AND(COUNT($E56),N(AW$2)&gt;=N($G$2),N(AW$2)&lt;N($E56))," ",""))</f>
        <v/>
      </c>
      <c r="AX56" s="23">
        <f>IF(AND(COUNT($E56),N(AX$2)=N($E56)),$E56,IF(AND(COUNT($E56),N(AX$2)&gt;=N($G$2),N(AX$2)&lt;N($E56))," ",""))</f>
        <v/>
      </c>
      <c r="AY56" s="23">
        <f>IF(AND(COUNT($E56),N(AY$2)=N($E56)),$E56,IF(AND(COUNT($E56),N(AY$2)&gt;=N($G$2),N(AY$2)&lt;N($E56))," ",""))</f>
        <v/>
      </c>
      <c r="AZ56" s="23">
        <f>IF(AND(COUNT($E56),N(AZ$2)=N($E56)),$E56,IF(AND(COUNT($E56),N(AZ$2)&gt;=N($G$2),N(AZ$2)&lt;N($E56))," ",""))</f>
        <v/>
      </c>
      <c r="BA56" s="23">
        <f>IF(AND(COUNT($E56),N(BA$2)=N($E56)),$E56,IF(AND(COUNT($E56),N(BA$2)&gt;=N($G$2),N(BA$2)&lt;N($E56))," ",""))</f>
        <v/>
      </c>
      <c r="BB56" s="23">
        <f>IF(AND(COUNT($E56),N(BB$2)=N($E56)),$E56,IF(AND(COUNT($E56),N(BB$2)&gt;=N($G$2),N(BB$2)&lt;N($E56))," ",""))</f>
        <v/>
      </c>
      <c r="BC56" s="23">
        <f>IF(AND(COUNT($E56),N(BC$2)=N($E56)),$E56,IF(AND(COUNT($E56),N(BC$2)&gt;=N($G$2),N(BC$2)&lt;N($E56))," ",""))</f>
        <v/>
      </c>
      <c r="BD56" s="23">
        <f>IF(AND(COUNT($E56),N(BD$2)=N($E56)),$E56,IF(AND(COUNT($E56),N(BD$2)&gt;=N($G$2),N(BD$2)&lt;N($E56))," ",""))</f>
        <v/>
      </c>
      <c r="BE56" s="23">
        <f>IF(AND(COUNT($E56),N(BE$2)=N($E56)),$E56,IF(AND(COUNT($E56),N(BE$2)&gt;=N($G$2),N(BE$2)&lt;N($E56))," ",""))</f>
        <v/>
      </c>
      <c r="BF56" s="23">
        <f>IF(AND(COUNT($E56),N(BF$2)=N($E56)),$E56,IF(AND(COUNT($E56),N(BF$2)&gt;=N($G$2),N(BF$2)&lt;N($E56))," ",""))</f>
        <v/>
      </c>
      <c r="BG56" s="23">
        <f>IF(AND(COUNT($E56),N(BG$2)=N($E56)),$E56,IF(AND(COUNT($E56),N(BG$2)&gt;=N($G$2),N(BG$2)&lt;N($E56))," ",""))</f>
        <v/>
      </c>
      <c r="BH56" s="23">
        <f>IF(AND(COUNT($E56),N(BH$2)=N($E56)),$E56,IF(AND(COUNT($E56),N(BH$2)&gt;=N($G$2),N(BH$2)&lt;N($E56))," ",""))</f>
        <v/>
      </c>
      <c r="BI56" s="23">
        <f>IF(AND(COUNT($E56),N(BI$2)=N($E56)),$E56,IF(AND(COUNT($E56),N(BI$2)&gt;=N($G$2),N(BI$2)&lt;N($E56))," ",""))</f>
        <v/>
      </c>
      <c r="BJ56" s="23">
        <f>IF(AND(COUNT($E56),N(BJ$2)=N($E56)),$E56,IF(AND(COUNT($E56),N(BJ$2)&gt;=N($G$2),N(BJ$2)&lt;N($E56))," ",""))</f>
        <v/>
      </c>
      <c r="BK56" s="23">
        <f>IF(AND(COUNT($E56),N(BK$2)=N($E56)),$E56,IF(AND(COUNT($E56),N(BK$2)&gt;=N($G$2),N(BK$2)&lt;N($E56))," ",""))</f>
        <v/>
      </c>
      <c r="BL56" s="23">
        <f>IF(AND(COUNT($E56),N(BL$2)=N($E56)),$E56,IF(AND(COUNT($E56),N(BL$2)&gt;=N($G$2),N(BL$2)&lt;N($E56))," ",""))</f>
        <v/>
      </c>
      <c r="BM56" s="23">
        <f>IF(AND(COUNT($E56),N(BM$2)=N($E56)),$E56,IF(AND(COUNT($E56),N(BM$2)&gt;=N($G$2),N(BM$2)&lt;N($E56))," ",""))</f>
        <v/>
      </c>
      <c r="BN56" s="23">
        <f>IF(AND(COUNT($E56),N(BN$2)=N($E56)),$E56,IF(AND(COUNT($E56),N(BN$2)&gt;=N($G$2),N(BN$2)&lt;N($E56))," ",""))</f>
        <v/>
      </c>
      <c r="BO56" s="23">
        <f>IF(AND(COUNT($E56),N(BO$2)=N($E56)),$E56,IF(AND(COUNT($E56),N(BO$2)&gt;=N($G$2),N(BO$2)&lt;N($E56))," ",""))</f>
        <v/>
      </c>
      <c r="BP56" s="23">
        <f>IF(AND(COUNT($E56),N(BP$2)=N($E56)),$E56,IF(AND(COUNT($E56),N(BP$2)&gt;=N($G$2),N(BP$2)&lt;N($E56))," ",""))</f>
        <v/>
      </c>
      <c r="BQ56" s="23">
        <f>IF(AND(COUNT($E56),N(BQ$2)=N($E56)),$E56,IF(AND(COUNT($E56),N(BQ$2)&gt;=N($G$2),N(BQ$2)&lt;N($E56))," ",""))</f>
        <v/>
      </c>
      <c r="BR56" s="23">
        <f>IF(AND(COUNT($E56),N(BR$2)=N($E56)),$E56,IF(AND(COUNT($E56),N(BR$2)&gt;=N($G$2),N(BR$2)&lt;N($E56))," ",""))</f>
        <v/>
      </c>
      <c r="BS56" s="23">
        <f>IF(AND(COUNT($E56),N(BS$2)=N($E56)),$E56,IF(AND(COUNT($E56),N(BS$2)&gt;=N($G$2),N(BS$2)&lt;N($E56))," ",""))</f>
        <v/>
      </c>
    </row>
    <row r="57" ht="20" customHeight="1">
      <c r="A57" s="21" t="inlineStr">
        <is>
          <t>预估</t>
        </is>
      </c>
      <c r="B57" s="21" t="inlineStr">
        <is>
          <t>第一期</t>
        </is>
      </c>
      <c r="C57" s="22" t="inlineStr">
        <is>
          <t>PAB142·单级样机</t>
        </is>
      </c>
      <c r="D57" s="23">
        <f>'时间节点计划表'!E29</f>
        <v/>
      </c>
      <c r="E57" s="23">
        <f>IF(COUNT('时间节点计划表'!F29),'时间节点计划表'!F29,"")</f>
        <v/>
      </c>
      <c r="F57" s="24" t="inlineStr"/>
      <c r="G57" s="25">
        <f>D57</f>
        <v/>
      </c>
      <c r="H57" s="26" t="n"/>
      <c r="I57" s="26" t="n"/>
      <c r="J57" s="26" t="n"/>
      <c r="K57" s="26" t="n"/>
      <c r="L57" s="26" t="n"/>
      <c r="M57" s="26" t="n"/>
      <c r="N57" s="26" t="n"/>
      <c r="O57" s="26" t="n"/>
      <c r="P57" s="26" t="n"/>
      <c r="Q57" s="26" t="n"/>
      <c r="R57" s="26" t="n"/>
      <c r="S57" s="26" t="n"/>
      <c r="T57" s="26" t="n"/>
      <c r="U57" s="26" t="n"/>
      <c r="V57" s="26" t="n"/>
      <c r="W57" s="26" t="n"/>
      <c r="X57" s="26" t="n"/>
      <c r="Y57" s="26" t="n"/>
      <c r="Z57" s="26" t="n"/>
      <c r="AA57" s="26" t="n"/>
      <c r="AB57" s="26" t="n"/>
      <c r="AC57" s="26" t="n"/>
      <c r="AD57" s="26" t="n"/>
      <c r="AE57" s="26" t="n"/>
      <c r="AF57" s="26" t="n"/>
      <c r="AG57" s="26" t="n"/>
      <c r="AH57" s="26" t="n"/>
      <c r="AI57" s="26" t="n"/>
      <c r="AJ57" s="26" t="n"/>
      <c r="AK57" s="26" t="n"/>
      <c r="AL57" s="26" t="n"/>
      <c r="AM57" s="26" t="n"/>
      <c r="AN57" s="26" t="n"/>
      <c r="AO57" s="26" t="n"/>
      <c r="AP57" s="26" t="n"/>
      <c r="AQ57" s="26" t="n"/>
      <c r="AR57" s="26" t="n"/>
      <c r="AS57" s="26" t="n"/>
      <c r="AT57" s="26" t="n"/>
      <c r="AU57" s="26" t="n"/>
      <c r="AV57" s="26" t="n"/>
      <c r="AW57" s="26" t="n"/>
      <c r="AX57" s="26" t="n"/>
      <c r="AY57" s="26" t="n"/>
      <c r="AZ57" s="26" t="n"/>
      <c r="BA57" s="26" t="n"/>
      <c r="BB57" s="26" t="n"/>
      <c r="BC57" s="26" t="n"/>
      <c r="BD57" s="26" t="n"/>
      <c r="BE57" s="26" t="n"/>
      <c r="BF57" s="26" t="n"/>
      <c r="BG57" s="26" t="n"/>
      <c r="BH57" s="26" t="n"/>
      <c r="BI57" s="27" t="n"/>
      <c r="BJ57" s="28" t="n"/>
      <c r="BK57" s="28" t="n"/>
      <c r="BL57" s="28" t="n"/>
      <c r="BM57" s="28" t="n"/>
      <c r="BN57" s="28" t="n"/>
      <c r="BO57" s="28" t="n"/>
      <c r="BP57" s="28" t="n"/>
      <c r="BQ57" s="28" t="n"/>
      <c r="BR57" s="28" t="n"/>
      <c r="BS57" s="28" t="n"/>
    </row>
    <row r="58" ht="20" customHeight="1">
      <c r="A58" s="29" t="inlineStr">
        <is>
          <t>实际</t>
        </is>
      </c>
      <c r="B58" s="29" t="inlineStr">
        <is>
          <t>第一期</t>
        </is>
      </c>
      <c r="C58" s="30" t="inlineStr">
        <is>
          <t>PAB142·单级样机</t>
        </is>
      </c>
      <c r="D58" s="31">
        <f>'时间节点计划表'!E29</f>
        <v/>
      </c>
      <c r="E58" s="31">
        <f>IF(COUNT('时间节点计划表'!F29),'时间节点计划表'!F29,"")</f>
        <v/>
      </c>
      <c r="F58" s="32">
        <f>IF(OR(D58="",E58=""),"待填",E58-D58)</f>
        <v/>
      </c>
      <c r="G58" s="23">
        <f>IF(AND(COUNT($E58),N(G$2)=N($E58)),$E58,IF(AND(COUNT($E58),N(G$2)&gt;=N($G$2),N(G$2)&lt;N($E58))," ",""))</f>
        <v/>
      </c>
      <c r="H58" s="23">
        <f>IF(AND(COUNT($E58),N(H$2)=N($E58)),$E58,IF(AND(COUNT($E58),N(H$2)&gt;=N($G$2),N(H$2)&lt;N($E58))," ",""))</f>
        <v/>
      </c>
      <c r="I58" s="23">
        <f>IF(AND(COUNT($E58),N(I$2)=N($E58)),$E58,IF(AND(COUNT($E58),N(I$2)&gt;=N($G$2),N(I$2)&lt;N($E58))," ",""))</f>
        <v/>
      </c>
      <c r="J58" s="23">
        <f>IF(AND(COUNT($E58),N(J$2)=N($E58)),$E58,IF(AND(COUNT($E58),N(J$2)&gt;=N($G$2),N(J$2)&lt;N($E58))," ",""))</f>
        <v/>
      </c>
      <c r="K58" s="23">
        <f>IF(AND(COUNT($E58),N(K$2)=N($E58)),$E58,IF(AND(COUNT($E58),N(K$2)&gt;=N($G$2),N(K$2)&lt;N($E58))," ",""))</f>
        <v/>
      </c>
      <c r="L58" s="23">
        <f>IF(AND(COUNT($E58),N(L$2)=N($E58)),$E58,IF(AND(COUNT($E58),N(L$2)&gt;=N($G$2),N(L$2)&lt;N($E58))," ",""))</f>
        <v/>
      </c>
      <c r="M58" s="23">
        <f>IF(AND(COUNT($E58),N(M$2)=N($E58)),$E58,IF(AND(COUNT($E58),N(M$2)&gt;=N($G$2),N(M$2)&lt;N($E58))," ",""))</f>
        <v/>
      </c>
      <c r="N58" s="23">
        <f>IF(AND(COUNT($E58),N(N$2)=N($E58)),$E58,IF(AND(COUNT($E58),N(N$2)&gt;=N($G$2),N(N$2)&lt;N($E58))," ",""))</f>
        <v/>
      </c>
      <c r="O58" s="23">
        <f>IF(AND(COUNT($E58),N(O$2)=N($E58)),$E58,IF(AND(COUNT($E58),N(O$2)&gt;=N($G$2),N(O$2)&lt;N($E58))," ",""))</f>
        <v/>
      </c>
      <c r="P58" s="23">
        <f>IF(AND(COUNT($E58),N(P$2)=N($E58)),$E58,IF(AND(COUNT($E58),N(P$2)&gt;=N($G$2),N(P$2)&lt;N($E58))," ",""))</f>
        <v/>
      </c>
      <c r="Q58" s="23">
        <f>IF(AND(COUNT($E58),N(Q$2)=N($E58)),$E58,IF(AND(COUNT($E58),N(Q$2)&gt;=N($G$2),N(Q$2)&lt;N($E58))," ",""))</f>
        <v/>
      </c>
      <c r="R58" s="23">
        <f>IF(AND(COUNT($E58),N(R$2)=N($E58)),$E58,IF(AND(COUNT($E58),N(R$2)&gt;=N($G$2),N(R$2)&lt;N($E58))," ",""))</f>
        <v/>
      </c>
      <c r="S58" s="23">
        <f>IF(AND(COUNT($E58),N(S$2)=N($E58)),$E58,IF(AND(COUNT($E58),N(S$2)&gt;=N($G$2),N(S$2)&lt;N($E58))," ",""))</f>
        <v/>
      </c>
      <c r="T58" s="23">
        <f>IF(AND(COUNT($E58),N(T$2)=N($E58)),$E58,IF(AND(COUNT($E58),N(T$2)&gt;=N($G$2),N(T$2)&lt;N($E58))," ",""))</f>
        <v/>
      </c>
      <c r="U58" s="23">
        <f>IF(AND(COUNT($E58),N(U$2)=N($E58)),$E58,IF(AND(COUNT($E58),N(U$2)&gt;=N($G$2),N(U$2)&lt;N($E58))," ",""))</f>
        <v/>
      </c>
      <c r="V58" s="23">
        <f>IF(AND(COUNT($E58),N(V$2)=N($E58)),$E58,IF(AND(COUNT($E58),N(V$2)&gt;=N($G$2),N(V$2)&lt;N($E58))," ",""))</f>
        <v/>
      </c>
      <c r="W58" s="23">
        <f>IF(AND(COUNT($E58),N(W$2)=N($E58)),$E58,IF(AND(COUNT($E58),N(W$2)&gt;=N($G$2),N(W$2)&lt;N($E58))," ",""))</f>
        <v/>
      </c>
      <c r="X58" s="23">
        <f>IF(AND(COUNT($E58),N(X$2)=N($E58)),$E58,IF(AND(COUNT($E58),N(X$2)&gt;=N($G$2),N(X$2)&lt;N($E58))," ",""))</f>
        <v/>
      </c>
      <c r="Y58" s="23">
        <f>IF(AND(COUNT($E58),N(Y$2)=N($E58)),$E58,IF(AND(COUNT($E58),N(Y$2)&gt;=N($G$2),N(Y$2)&lt;N($E58))," ",""))</f>
        <v/>
      </c>
      <c r="Z58" s="23">
        <f>IF(AND(COUNT($E58),N(Z$2)=N($E58)),$E58,IF(AND(COUNT($E58),N(Z$2)&gt;=N($G$2),N(Z$2)&lt;N($E58))," ",""))</f>
        <v/>
      </c>
      <c r="AA58" s="23">
        <f>IF(AND(COUNT($E58),N(AA$2)=N($E58)),$E58,IF(AND(COUNT($E58),N(AA$2)&gt;=N($G$2),N(AA$2)&lt;N($E58))," ",""))</f>
        <v/>
      </c>
      <c r="AB58" s="23">
        <f>IF(AND(COUNT($E58),N(AB$2)=N($E58)),$E58,IF(AND(COUNT($E58),N(AB$2)&gt;=N($G$2),N(AB$2)&lt;N($E58))," ",""))</f>
        <v/>
      </c>
      <c r="AC58" s="23">
        <f>IF(AND(COUNT($E58),N(AC$2)=N($E58)),$E58,IF(AND(COUNT($E58),N(AC$2)&gt;=N($G$2),N(AC$2)&lt;N($E58))," ",""))</f>
        <v/>
      </c>
      <c r="AD58" s="23">
        <f>IF(AND(COUNT($E58),N(AD$2)=N($E58)),$E58,IF(AND(COUNT($E58),N(AD$2)&gt;=N($G$2),N(AD$2)&lt;N($E58))," ",""))</f>
        <v/>
      </c>
      <c r="AE58" s="23">
        <f>IF(AND(COUNT($E58),N(AE$2)=N($E58)),$E58,IF(AND(COUNT($E58),N(AE$2)&gt;=N($G$2),N(AE$2)&lt;N($E58))," ",""))</f>
        <v/>
      </c>
      <c r="AF58" s="23">
        <f>IF(AND(COUNT($E58),N(AF$2)=N($E58)),$E58,IF(AND(COUNT($E58),N(AF$2)&gt;=N($G$2),N(AF$2)&lt;N($E58))," ",""))</f>
        <v/>
      </c>
      <c r="AG58" s="23">
        <f>IF(AND(COUNT($E58),N(AG$2)=N($E58)),$E58,IF(AND(COUNT($E58),N(AG$2)&gt;=N($G$2),N(AG$2)&lt;N($E58))," ",""))</f>
        <v/>
      </c>
      <c r="AH58" s="23">
        <f>IF(AND(COUNT($E58),N(AH$2)=N($E58)),$E58,IF(AND(COUNT($E58),N(AH$2)&gt;=N($G$2),N(AH$2)&lt;N($E58))," ",""))</f>
        <v/>
      </c>
      <c r="AI58" s="23">
        <f>IF(AND(COUNT($E58),N(AI$2)=N($E58)),$E58,IF(AND(COUNT($E58),N(AI$2)&gt;=N($G$2),N(AI$2)&lt;N($E58))," ",""))</f>
        <v/>
      </c>
      <c r="AJ58" s="23">
        <f>IF(AND(COUNT($E58),N(AJ$2)=N($E58)),$E58,IF(AND(COUNT($E58),N(AJ$2)&gt;=N($G$2),N(AJ$2)&lt;N($E58))," ",""))</f>
        <v/>
      </c>
      <c r="AK58" s="23">
        <f>IF(AND(COUNT($E58),N(AK$2)=N($E58)),$E58,IF(AND(COUNT($E58),N(AK$2)&gt;=N($G$2),N(AK$2)&lt;N($E58))," ",""))</f>
        <v/>
      </c>
      <c r="AL58" s="23">
        <f>IF(AND(COUNT($E58),N(AL$2)=N($E58)),$E58,IF(AND(COUNT($E58),N(AL$2)&gt;=N($G$2),N(AL$2)&lt;N($E58))," ",""))</f>
        <v/>
      </c>
      <c r="AM58" s="23">
        <f>IF(AND(COUNT($E58),N(AM$2)=N($E58)),$E58,IF(AND(COUNT($E58),N(AM$2)&gt;=N($G$2),N(AM$2)&lt;N($E58))," ",""))</f>
        <v/>
      </c>
      <c r="AN58" s="23">
        <f>IF(AND(COUNT($E58),N(AN$2)=N($E58)),$E58,IF(AND(COUNT($E58),N(AN$2)&gt;=N($G$2),N(AN$2)&lt;N($E58))," ",""))</f>
        <v/>
      </c>
      <c r="AO58" s="23">
        <f>IF(AND(COUNT($E58),N(AO$2)=N($E58)),$E58,IF(AND(COUNT($E58),N(AO$2)&gt;=N($G$2),N(AO$2)&lt;N($E58))," ",""))</f>
        <v/>
      </c>
      <c r="AP58" s="23">
        <f>IF(AND(COUNT($E58),N(AP$2)=N($E58)),$E58,IF(AND(COUNT($E58),N(AP$2)&gt;=N($G$2),N(AP$2)&lt;N($E58))," ",""))</f>
        <v/>
      </c>
      <c r="AQ58" s="23">
        <f>IF(AND(COUNT($E58),N(AQ$2)=N($E58)),$E58,IF(AND(COUNT($E58),N(AQ$2)&gt;=N($G$2),N(AQ$2)&lt;N($E58))," ",""))</f>
        <v/>
      </c>
      <c r="AR58" s="23">
        <f>IF(AND(COUNT($E58),N(AR$2)=N($E58)),$E58,IF(AND(COUNT($E58),N(AR$2)&gt;=N($G$2),N(AR$2)&lt;N($E58))," ",""))</f>
        <v/>
      </c>
      <c r="AS58" s="23">
        <f>IF(AND(COUNT($E58),N(AS$2)=N($E58)),$E58,IF(AND(COUNT($E58),N(AS$2)&gt;=N($G$2),N(AS$2)&lt;N($E58))," ",""))</f>
        <v/>
      </c>
      <c r="AT58" s="23">
        <f>IF(AND(COUNT($E58),N(AT$2)=N($E58)),$E58,IF(AND(COUNT($E58),N(AT$2)&gt;=N($G$2),N(AT$2)&lt;N($E58))," ",""))</f>
        <v/>
      </c>
      <c r="AU58" s="23">
        <f>IF(AND(COUNT($E58),N(AU$2)=N($E58)),$E58,IF(AND(COUNT($E58),N(AU$2)&gt;=N($G$2),N(AU$2)&lt;N($E58))," ",""))</f>
        <v/>
      </c>
      <c r="AV58" s="23">
        <f>IF(AND(COUNT($E58),N(AV$2)=N($E58)),$E58,IF(AND(COUNT($E58),N(AV$2)&gt;=N($G$2),N(AV$2)&lt;N($E58))," ",""))</f>
        <v/>
      </c>
      <c r="AW58" s="23">
        <f>IF(AND(COUNT($E58),N(AW$2)=N($E58)),$E58,IF(AND(COUNT($E58),N(AW$2)&gt;=N($G$2),N(AW$2)&lt;N($E58))," ",""))</f>
        <v/>
      </c>
      <c r="AX58" s="23">
        <f>IF(AND(COUNT($E58),N(AX$2)=N($E58)),$E58,IF(AND(COUNT($E58),N(AX$2)&gt;=N($G$2),N(AX$2)&lt;N($E58))," ",""))</f>
        <v/>
      </c>
      <c r="AY58" s="23">
        <f>IF(AND(COUNT($E58),N(AY$2)=N($E58)),$E58,IF(AND(COUNT($E58),N(AY$2)&gt;=N($G$2),N(AY$2)&lt;N($E58))," ",""))</f>
        <v/>
      </c>
      <c r="AZ58" s="23">
        <f>IF(AND(COUNT($E58),N(AZ$2)=N($E58)),$E58,IF(AND(COUNT($E58),N(AZ$2)&gt;=N($G$2),N(AZ$2)&lt;N($E58))," ",""))</f>
        <v/>
      </c>
      <c r="BA58" s="23">
        <f>IF(AND(COUNT($E58),N(BA$2)=N($E58)),$E58,IF(AND(COUNT($E58),N(BA$2)&gt;=N($G$2),N(BA$2)&lt;N($E58))," ",""))</f>
        <v/>
      </c>
      <c r="BB58" s="23">
        <f>IF(AND(COUNT($E58),N(BB$2)=N($E58)),$E58,IF(AND(COUNT($E58),N(BB$2)&gt;=N($G$2),N(BB$2)&lt;N($E58))," ",""))</f>
        <v/>
      </c>
      <c r="BC58" s="23">
        <f>IF(AND(COUNT($E58),N(BC$2)=N($E58)),$E58,IF(AND(COUNT($E58),N(BC$2)&gt;=N($G$2),N(BC$2)&lt;N($E58))," ",""))</f>
        <v/>
      </c>
      <c r="BD58" s="23">
        <f>IF(AND(COUNT($E58),N(BD$2)=N($E58)),$E58,IF(AND(COUNT($E58),N(BD$2)&gt;=N($G$2),N(BD$2)&lt;N($E58))," ",""))</f>
        <v/>
      </c>
      <c r="BE58" s="23">
        <f>IF(AND(COUNT($E58),N(BE$2)=N($E58)),$E58,IF(AND(COUNT($E58),N(BE$2)&gt;=N($G$2),N(BE$2)&lt;N($E58))," ",""))</f>
        <v/>
      </c>
      <c r="BF58" s="23">
        <f>IF(AND(COUNT($E58),N(BF$2)=N($E58)),$E58,IF(AND(COUNT($E58),N(BF$2)&gt;=N($G$2),N(BF$2)&lt;N($E58))," ",""))</f>
        <v/>
      </c>
      <c r="BG58" s="23">
        <f>IF(AND(COUNT($E58),N(BG$2)=N($E58)),$E58,IF(AND(COUNT($E58),N(BG$2)&gt;=N($G$2),N(BG$2)&lt;N($E58))," ",""))</f>
        <v/>
      </c>
      <c r="BH58" s="23">
        <f>IF(AND(COUNT($E58),N(BH$2)=N($E58)),$E58,IF(AND(COUNT($E58),N(BH$2)&gt;=N($G$2),N(BH$2)&lt;N($E58))," ",""))</f>
        <v/>
      </c>
      <c r="BI58" s="23">
        <f>IF(AND(COUNT($E58),N(BI$2)=N($E58)),$E58,IF(AND(COUNT($E58),N(BI$2)&gt;=N($G$2),N(BI$2)&lt;N($E58))," ",""))</f>
        <v/>
      </c>
      <c r="BJ58" s="23">
        <f>IF(AND(COUNT($E58),N(BJ$2)=N($E58)),$E58,IF(AND(COUNT($E58),N(BJ$2)&gt;=N($G$2),N(BJ$2)&lt;N($E58))," ",""))</f>
        <v/>
      </c>
      <c r="BK58" s="23">
        <f>IF(AND(COUNT($E58),N(BK$2)=N($E58)),$E58,IF(AND(COUNT($E58),N(BK$2)&gt;=N($G$2),N(BK$2)&lt;N($E58))," ",""))</f>
        <v/>
      </c>
      <c r="BL58" s="23">
        <f>IF(AND(COUNT($E58),N(BL$2)=N($E58)),$E58,IF(AND(COUNT($E58),N(BL$2)&gt;=N($G$2),N(BL$2)&lt;N($E58))," ",""))</f>
        <v/>
      </c>
      <c r="BM58" s="23">
        <f>IF(AND(COUNT($E58),N(BM$2)=N($E58)),$E58,IF(AND(COUNT($E58),N(BM$2)&gt;=N($G$2),N(BM$2)&lt;N($E58))," ",""))</f>
        <v/>
      </c>
      <c r="BN58" s="23">
        <f>IF(AND(COUNT($E58),N(BN$2)=N($E58)),$E58,IF(AND(COUNT($E58),N(BN$2)&gt;=N($G$2),N(BN$2)&lt;N($E58))," ",""))</f>
        <v/>
      </c>
      <c r="BO58" s="23">
        <f>IF(AND(COUNT($E58),N(BO$2)=N($E58)),$E58,IF(AND(COUNT($E58),N(BO$2)&gt;=N($G$2),N(BO$2)&lt;N($E58))," ",""))</f>
        <v/>
      </c>
      <c r="BP58" s="23">
        <f>IF(AND(COUNT($E58),N(BP$2)=N($E58)),$E58,IF(AND(COUNT($E58),N(BP$2)&gt;=N($G$2),N(BP$2)&lt;N($E58))," ",""))</f>
        <v/>
      </c>
      <c r="BQ58" s="23">
        <f>IF(AND(COUNT($E58),N(BQ$2)=N($E58)),$E58,IF(AND(COUNT($E58),N(BQ$2)&gt;=N($G$2),N(BQ$2)&lt;N($E58))," ",""))</f>
        <v/>
      </c>
      <c r="BR58" s="23">
        <f>IF(AND(COUNT($E58),N(BR$2)=N($E58)),$E58,IF(AND(COUNT($E58),N(BR$2)&gt;=N($G$2),N(BR$2)&lt;N($E58))," ",""))</f>
        <v/>
      </c>
      <c r="BS58" s="23">
        <f>IF(AND(COUNT($E58),N(BS$2)=N($E58)),$E58,IF(AND(COUNT($E58),N(BS$2)&gt;=N($G$2),N(BS$2)&lt;N($E58))," ",""))</f>
        <v/>
      </c>
    </row>
    <row r="59" ht="20" customHeight="1">
      <c r="A59" s="21" t="inlineStr">
        <is>
          <t>预估</t>
        </is>
      </c>
      <c r="B59" s="21" t="inlineStr">
        <is>
          <t>第一期</t>
        </is>
      </c>
      <c r="C59" s="22" t="inlineStr">
        <is>
          <t>PAB142·双级样机</t>
        </is>
      </c>
      <c r="D59" s="23">
        <f>'时间节点计划表'!E30</f>
        <v/>
      </c>
      <c r="E59" s="23">
        <f>IF(COUNT('时间节点计划表'!F30),'时间节点计划表'!F30,"")</f>
        <v/>
      </c>
      <c r="F59" s="24" t="inlineStr"/>
      <c r="G59" s="25">
        <f>D59</f>
        <v/>
      </c>
      <c r="H59" s="26" t="n"/>
      <c r="I59" s="26" t="n"/>
      <c r="J59" s="26" t="n"/>
      <c r="K59" s="26" t="n"/>
      <c r="L59" s="26" t="n"/>
      <c r="M59" s="26" t="n"/>
      <c r="N59" s="26" t="n"/>
      <c r="O59" s="26" t="n"/>
      <c r="P59" s="26" t="n"/>
      <c r="Q59" s="26" t="n"/>
      <c r="R59" s="26" t="n"/>
      <c r="S59" s="26" t="n"/>
      <c r="T59" s="26" t="n"/>
      <c r="U59" s="26" t="n"/>
      <c r="V59" s="26" t="n"/>
      <c r="W59" s="26" t="n"/>
      <c r="X59" s="26" t="n"/>
      <c r="Y59" s="26" t="n"/>
      <c r="Z59" s="26" t="n"/>
      <c r="AA59" s="26" t="n"/>
      <c r="AB59" s="26" t="n"/>
      <c r="AC59" s="26" t="n"/>
      <c r="AD59" s="26" t="n"/>
      <c r="AE59" s="26" t="n"/>
      <c r="AF59" s="26" t="n"/>
      <c r="AG59" s="26" t="n"/>
      <c r="AH59" s="26" t="n"/>
      <c r="AI59" s="26" t="n"/>
      <c r="AJ59" s="26" t="n"/>
      <c r="AK59" s="26" t="n"/>
      <c r="AL59" s="26" t="n"/>
      <c r="AM59" s="26" t="n"/>
      <c r="AN59" s="26" t="n"/>
      <c r="AO59" s="26" t="n"/>
      <c r="AP59" s="26" t="n"/>
      <c r="AQ59" s="26" t="n"/>
      <c r="AR59" s="26" t="n"/>
      <c r="AS59" s="26" t="n"/>
      <c r="AT59" s="26" t="n"/>
      <c r="AU59" s="26" t="n"/>
      <c r="AV59" s="26" t="n"/>
      <c r="AW59" s="26" t="n"/>
      <c r="AX59" s="26" t="n"/>
      <c r="AY59" s="26" t="n"/>
      <c r="AZ59" s="26" t="n"/>
      <c r="BA59" s="26" t="n"/>
      <c r="BB59" s="26" t="n"/>
      <c r="BC59" s="26" t="n"/>
      <c r="BD59" s="26" t="n"/>
      <c r="BE59" s="26" t="n"/>
      <c r="BF59" s="26" t="n"/>
      <c r="BG59" s="26" t="n"/>
      <c r="BH59" s="26" t="n"/>
      <c r="BI59" s="26" t="n"/>
      <c r="BJ59" s="26" t="n"/>
      <c r="BK59" s="27" t="n"/>
      <c r="BL59" s="28" t="n"/>
      <c r="BM59" s="28" t="n"/>
      <c r="BN59" s="28" t="n"/>
      <c r="BO59" s="28" t="n"/>
      <c r="BP59" s="28" t="n"/>
      <c r="BQ59" s="28" t="n"/>
      <c r="BR59" s="28" t="n"/>
      <c r="BS59" s="28" t="n"/>
    </row>
    <row r="60" ht="20" customHeight="1">
      <c r="A60" s="29" t="inlineStr">
        <is>
          <t>实际</t>
        </is>
      </c>
      <c r="B60" s="29" t="inlineStr">
        <is>
          <t>第一期</t>
        </is>
      </c>
      <c r="C60" s="30" t="inlineStr">
        <is>
          <t>PAB142·双级样机</t>
        </is>
      </c>
      <c r="D60" s="31">
        <f>'时间节点计划表'!E30</f>
        <v/>
      </c>
      <c r="E60" s="31">
        <f>IF(COUNT('时间节点计划表'!F30),'时间节点计划表'!F30,"")</f>
        <v/>
      </c>
      <c r="F60" s="32">
        <f>IF(OR(D60="",E60=""),"待填",E60-D60)</f>
        <v/>
      </c>
      <c r="G60" s="23">
        <f>IF(AND(COUNT($E60),N(G$2)=N($E60)),$E60,IF(AND(COUNT($E60),N(G$2)&gt;=N($G$2),N(G$2)&lt;N($E60))," ",""))</f>
        <v/>
      </c>
      <c r="H60" s="23">
        <f>IF(AND(COUNT($E60),N(H$2)=N($E60)),$E60,IF(AND(COUNT($E60),N(H$2)&gt;=N($G$2),N(H$2)&lt;N($E60))," ",""))</f>
        <v/>
      </c>
      <c r="I60" s="23">
        <f>IF(AND(COUNT($E60),N(I$2)=N($E60)),$E60,IF(AND(COUNT($E60),N(I$2)&gt;=N($G$2),N(I$2)&lt;N($E60))," ",""))</f>
        <v/>
      </c>
      <c r="J60" s="23">
        <f>IF(AND(COUNT($E60),N(J$2)=N($E60)),$E60,IF(AND(COUNT($E60),N(J$2)&gt;=N($G$2),N(J$2)&lt;N($E60))," ",""))</f>
        <v/>
      </c>
      <c r="K60" s="23">
        <f>IF(AND(COUNT($E60),N(K$2)=N($E60)),$E60,IF(AND(COUNT($E60),N(K$2)&gt;=N($G$2),N(K$2)&lt;N($E60))," ",""))</f>
        <v/>
      </c>
      <c r="L60" s="23">
        <f>IF(AND(COUNT($E60),N(L$2)=N($E60)),$E60,IF(AND(COUNT($E60),N(L$2)&gt;=N($G$2),N(L$2)&lt;N($E60))," ",""))</f>
        <v/>
      </c>
      <c r="M60" s="23">
        <f>IF(AND(COUNT($E60),N(M$2)=N($E60)),$E60,IF(AND(COUNT($E60),N(M$2)&gt;=N($G$2),N(M$2)&lt;N($E60))," ",""))</f>
        <v/>
      </c>
      <c r="N60" s="23">
        <f>IF(AND(COUNT($E60),N(N$2)=N($E60)),$E60,IF(AND(COUNT($E60),N(N$2)&gt;=N($G$2),N(N$2)&lt;N($E60))," ",""))</f>
        <v/>
      </c>
      <c r="O60" s="23">
        <f>IF(AND(COUNT($E60),N(O$2)=N($E60)),$E60,IF(AND(COUNT($E60),N(O$2)&gt;=N($G$2),N(O$2)&lt;N($E60))," ",""))</f>
        <v/>
      </c>
      <c r="P60" s="23">
        <f>IF(AND(COUNT($E60),N(P$2)=N($E60)),$E60,IF(AND(COUNT($E60),N(P$2)&gt;=N($G$2),N(P$2)&lt;N($E60))," ",""))</f>
        <v/>
      </c>
      <c r="Q60" s="23">
        <f>IF(AND(COUNT($E60),N(Q$2)=N($E60)),$E60,IF(AND(COUNT($E60),N(Q$2)&gt;=N($G$2),N(Q$2)&lt;N($E60))," ",""))</f>
        <v/>
      </c>
      <c r="R60" s="23">
        <f>IF(AND(COUNT($E60),N(R$2)=N($E60)),$E60,IF(AND(COUNT($E60),N(R$2)&gt;=N($G$2),N(R$2)&lt;N($E60))," ",""))</f>
        <v/>
      </c>
      <c r="S60" s="23">
        <f>IF(AND(COUNT($E60),N(S$2)=N($E60)),$E60,IF(AND(COUNT($E60),N(S$2)&gt;=N($G$2),N(S$2)&lt;N($E60))," ",""))</f>
        <v/>
      </c>
      <c r="T60" s="23">
        <f>IF(AND(COUNT($E60),N(T$2)=N($E60)),$E60,IF(AND(COUNT($E60),N(T$2)&gt;=N($G$2),N(T$2)&lt;N($E60))," ",""))</f>
        <v/>
      </c>
      <c r="U60" s="23">
        <f>IF(AND(COUNT($E60),N(U$2)=N($E60)),$E60,IF(AND(COUNT($E60),N(U$2)&gt;=N($G$2),N(U$2)&lt;N($E60))," ",""))</f>
        <v/>
      </c>
      <c r="V60" s="23">
        <f>IF(AND(COUNT($E60),N(V$2)=N($E60)),$E60,IF(AND(COUNT($E60),N(V$2)&gt;=N($G$2),N(V$2)&lt;N($E60))," ",""))</f>
        <v/>
      </c>
      <c r="W60" s="23">
        <f>IF(AND(COUNT($E60),N(W$2)=N($E60)),$E60,IF(AND(COUNT($E60),N(W$2)&gt;=N($G$2),N(W$2)&lt;N($E60))," ",""))</f>
        <v/>
      </c>
      <c r="X60" s="23">
        <f>IF(AND(COUNT($E60),N(X$2)=N($E60)),$E60,IF(AND(COUNT($E60),N(X$2)&gt;=N($G$2),N(X$2)&lt;N($E60))," ",""))</f>
        <v/>
      </c>
      <c r="Y60" s="23">
        <f>IF(AND(COUNT($E60),N(Y$2)=N($E60)),$E60,IF(AND(COUNT($E60),N(Y$2)&gt;=N($G$2),N(Y$2)&lt;N($E60))," ",""))</f>
        <v/>
      </c>
      <c r="Z60" s="23">
        <f>IF(AND(COUNT($E60),N(Z$2)=N($E60)),$E60,IF(AND(COUNT($E60),N(Z$2)&gt;=N($G$2),N(Z$2)&lt;N($E60))," ",""))</f>
        <v/>
      </c>
      <c r="AA60" s="23">
        <f>IF(AND(COUNT($E60),N(AA$2)=N($E60)),$E60,IF(AND(COUNT($E60),N(AA$2)&gt;=N($G$2),N(AA$2)&lt;N($E60))," ",""))</f>
        <v/>
      </c>
      <c r="AB60" s="23">
        <f>IF(AND(COUNT($E60),N(AB$2)=N($E60)),$E60,IF(AND(COUNT($E60),N(AB$2)&gt;=N($G$2),N(AB$2)&lt;N($E60))," ",""))</f>
        <v/>
      </c>
      <c r="AC60" s="23">
        <f>IF(AND(COUNT($E60),N(AC$2)=N($E60)),$E60,IF(AND(COUNT($E60),N(AC$2)&gt;=N($G$2),N(AC$2)&lt;N($E60))," ",""))</f>
        <v/>
      </c>
      <c r="AD60" s="23">
        <f>IF(AND(COUNT($E60),N(AD$2)=N($E60)),$E60,IF(AND(COUNT($E60),N(AD$2)&gt;=N($G$2),N(AD$2)&lt;N($E60))," ",""))</f>
        <v/>
      </c>
      <c r="AE60" s="23">
        <f>IF(AND(COUNT($E60),N(AE$2)=N($E60)),$E60,IF(AND(COUNT($E60),N(AE$2)&gt;=N($G$2),N(AE$2)&lt;N($E60))," ",""))</f>
        <v/>
      </c>
      <c r="AF60" s="23">
        <f>IF(AND(COUNT($E60),N(AF$2)=N($E60)),$E60,IF(AND(COUNT($E60),N(AF$2)&gt;=N($G$2),N(AF$2)&lt;N($E60))," ",""))</f>
        <v/>
      </c>
      <c r="AG60" s="23">
        <f>IF(AND(COUNT($E60),N(AG$2)=N($E60)),$E60,IF(AND(COUNT($E60),N(AG$2)&gt;=N($G$2),N(AG$2)&lt;N($E60))," ",""))</f>
        <v/>
      </c>
      <c r="AH60" s="23">
        <f>IF(AND(COUNT($E60),N(AH$2)=N($E60)),$E60,IF(AND(COUNT($E60),N(AH$2)&gt;=N($G$2),N(AH$2)&lt;N($E60))," ",""))</f>
        <v/>
      </c>
      <c r="AI60" s="23">
        <f>IF(AND(COUNT($E60),N(AI$2)=N($E60)),$E60,IF(AND(COUNT($E60),N(AI$2)&gt;=N($G$2),N(AI$2)&lt;N($E60))," ",""))</f>
        <v/>
      </c>
      <c r="AJ60" s="23">
        <f>IF(AND(COUNT($E60),N(AJ$2)=N($E60)),$E60,IF(AND(COUNT($E60),N(AJ$2)&gt;=N($G$2),N(AJ$2)&lt;N($E60))," ",""))</f>
        <v/>
      </c>
      <c r="AK60" s="23">
        <f>IF(AND(COUNT($E60),N(AK$2)=N($E60)),$E60,IF(AND(COUNT($E60),N(AK$2)&gt;=N($G$2),N(AK$2)&lt;N($E60))," ",""))</f>
        <v/>
      </c>
      <c r="AL60" s="23">
        <f>IF(AND(COUNT($E60),N(AL$2)=N($E60)),$E60,IF(AND(COUNT($E60),N(AL$2)&gt;=N($G$2),N(AL$2)&lt;N($E60))," ",""))</f>
        <v/>
      </c>
      <c r="AM60" s="23">
        <f>IF(AND(COUNT($E60),N(AM$2)=N($E60)),$E60,IF(AND(COUNT($E60),N(AM$2)&gt;=N($G$2),N(AM$2)&lt;N($E60))," ",""))</f>
        <v/>
      </c>
      <c r="AN60" s="23">
        <f>IF(AND(COUNT($E60),N(AN$2)=N($E60)),$E60,IF(AND(COUNT($E60),N(AN$2)&gt;=N($G$2),N(AN$2)&lt;N($E60))," ",""))</f>
        <v/>
      </c>
      <c r="AO60" s="23">
        <f>IF(AND(COUNT($E60),N(AO$2)=N($E60)),$E60,IF(AND(COUNT($E60),N(AO$2)&gt;=N($G$2),N(AO$2)&lt;N($E60))," ",""))</f>
        <v/>
      </c>
      <c r="AP60" s="23">
        <f>IF(AND(COUNT($E60),N(AP$2)=N($E60)),$E60,IF(AND(COUNT($E60),N(AP$2)&gt;=N($G$2),N(AP$2)&lt;N($E60))," ",""))</f>
        <v/>
      </c>
      <c r="AQ60" s="23">
        <f>IF(AND(COUNT($E60),N(AQ$2)=N($E60)),$E60,IF(AND(COUNT($E60),N(AQ$2)&gt;=N($G$2),N(AQ$2)&lt;N($E60))," ",""))</f>
        <v/>
      </c>
      <c r="AR60" s="23">
        <f>IF(AND(COUNT($E60),N(AR$2)=N($E60)),$E60,IF(AND(COUNT($E60),N(AR$2)&gt;=N($G$2),N(AR$2)&lt;N($E60))," ",""))</f>
        <v/>
      </c>
      <c r="AS60" s="23">
        <f>IF(AND(COUNT($E60),N(AS$2)=N($E60)),$E60,IF(AND(COUNT($E60),N(AS$2)&gt;=N($G$2),N(AS$2)&lt;N($E60))," ",""))</f>
        <v/>
      </c>
      <c r="AT60" s="23">
        <f>IF(AND(COUNT($E60),N(AT$2)=N($E60)),$E60,IF(AND(COUNT($E60),N(AT$2)&gt;=N($G$2),N(AT$2)&lt;N($E60))," ",""))</f>
        <v/>
      </c>
      <c r="AU60" s="23">
        <f>IF(AND(COUNT($E60),N(AU$2)=N($E60)),$E60,IF(AND(COUNT($E60),N(AU$2)&gt;=N($G$2),N(AU$2)&lt;N($E60))," ",""))</f>
        <v/>
      </c>
      <c r="AV60" s="23">
        <f>IF(AND(COUNT($E60),N(AV$2)=N($E60)),$E60,IF(AND(COUNT($E60),N(AV$2)&gt;=N($G$2),N(AV$2)&lt;N($E60))," ",""))</f>
        <v/>
      </c>
      <c r="AW60" s="23">
        <f>IF(AND(COUNT($E60),N(AW$2)=N($E60)),$E60,IF(AND(COUNT($E60),N(AW$2)&gt;=N($G$2),N(AW$2)&lt;N($E60))," ",""))</f>
        <v/>
      </c>
      <c r="AX60" s="23">
        <f>IF(AND(COUNT($E60),N(AX$2)=N($E60)),$E60,IF(AND(COUNT($E60),N(AX$2)&gt;=N($G$2),N(AX$2)&lt;N($E60))," ",""))</f>
        <v/>
      </c>
      <c r="AY60" s="23">
        <f>IF(AND(COUNT($E60),N(AY$2)=N($E60)),$E60,IF(AND(COUNT($E60),N(AY$2)&gt;=N($G$2),N(AY$2)&lt;N($E60))," ",""))</f>
        <v/>
      </c>
      <c r="AZ60" s="23">
        <f>IF(AND(COUNT($E60),N(AZ$2)=N($E60)),$E60,IF(AND(COUNT($E60),N(AZ$2)&gt;=N($G$2),N(AZ$2)&lt;N($E60))," ",""))</f>
        <v/>
      </c>
      <c r="BA60" s="23">
        <f>IF(AND(COUNT($E60),N(BA$2)=N($E60)),$E60,IF(AND(COUNT($E60),N(BA$2)&gt;=N($G$2),N(BA$2)&lt;N($E60))," ",""))</f>
        <v/>
      </c>
      <c r="BB60" s="23">
        <f>IF(AND(COUNT($E60),N(BB$2)=N($E60)),$E60,IF(AND(COUNT($E60),N(BB$2)&gt;=N($G$2),N(BB$2)&lt;N($E60))," ",""))</f>
        <v/>
      </c>
      <c r="BC60" s="23">
        <f>IF(AND(COUNT($E60),N(BC$2)=N($E60)),$E60,IF(AND(COUNT($E60),N(BC$2)&gt;=N($G$2),N(BC$2)&lt;N($E60))," ",""))</f>
        <v/>
      </c>
      <c r="BD60" s="23">
        <f>IF(AND(COUNT($E60),N(BD$2)=N($E60)),$E60,IF(AND(COUNT($E60),N(BD$2)&gt;=N($G$2),N(BD$2)&lt;N($E60))," ",""))</f>
        <v/>
      </c>
      <c r="BE60" s="23">
        <f>IF(AND(COUNT($E60),N(BE$2)=N($E60)),$E60,IF(AND(COUNT($E60),N(BE$2)&gt;=N($G$2),N(BE$2)&lt;N($E60))," ",""))</f>
        <v/>
      </c>
      <c r="BF60" s="23">
        <f>IF(AND(COUNT($E60),N(BF$2)=N($E60)),$E60,IF(AND(COUNT($E60),N(BF$2)&gt;=N($G$2),N(BF$2)&lt;N($E60))," ",""))</f>
        <v/>
      </c>
      <c r="BG60" s="23">
        <f>IF(AND(COUNT($E60),N(BG$2)=N($E60)),$E60,IF(AND(COUNT($E60),N(BG$2)&gt;=N($G$2),N(BG$2)&lt;N($E60))," ",""))</f>
        <v/>
      </c>
      <c r="BH60" s="23">
        <f>IF(AND(COUNT($E60),N(BH$2)=N($E60)),$E60,IF(AND(COUNT($E60),N(BH$2)&gt;=N($G$2),N(BH$2)&lt;N($E60))," ",""))</f>
        <v/>
      </c>
      <c r="BI60" s="23">
        <f>IF(AND(COUNT($E60),N(BI$2)=N($E60)),$E60,IF(AND(COUNT($E60),N(BI$2)&gt;=N($G$2),N(BI$2)&lt;N($E60))," ",""))</f>
        <v/>
      </c>
      <c r="BJ60" s="23">
        <f>IF(AND(COUNT($E60),N(BJ$2)=N($E60)),$E60,IF(AND(COUNT($E60),N(BJ$2)&gt;=N($G$2),N(BJ$2)&lt;N($E60))," ",""))</f>
        <v/>
      </c>
      <c r="BK60" s="23">
        <f>IF(AND(COUNT($E60),N(BK$2)=N($E60)),$E60,IF(AND(COUNT($E60),N(BK$2)&gt;=N($G$2),N(BK$2)&lt;N($E60))," ",""))</f>
        <v/>
      </c>
      <c r="BL60" s="23">
        <f>IF(AND(COUNT($E60),N(BL$2)=N($E60)),$E60,IF(AND(COUNT($E60),N(BL$2)&gt;=N($G$2),N(BL$2)&lt;N($E60))," ",""))</f>
        <v/>
      </c>
      <c r="BM60" s="23">
        <f>IF(AND(COUNT($E60),N(BM$2)=N($E60)),$E60,IF(AND(COUNT($E60),N(BM$2)&gt;=N($G$2),N(BM$2)&lt;N($E60))," ",""))</f>
        <v/>
      </c>
      <c r="BN60" s="23">
        <f>IF(AND(COUNT($E60),N(BN$2)=N($E60)),$E60,IF(AND(COUNT($E60),N(BN$2)&gt;=N($G$2),N(BN$2)&lt;N($E60))," ",""))</f>
        <v/>
      </c>
      <c r="BO60" s="23">
        <f>IF(AND(COUNT($E60),N(BO$2)=N($E60)),$E60,IF(AND(COUNT($E60),N(BO$2)&gt;=N($G$2),N(BO$2)&lt;N($E60))," ",""))</f>
        <v/>
      </c>
      <c r="BP60" s="23">
        <f>IF(AND(COUNT($E60),N(BP$2)=N($E60)),$E60,IF(AND(COUNT($E60),N(BP$2)&gt;=N($G$2),N(BP$2)&lt;N($E60))," ",""))</f>
        <v/>
      </c>
      <c r="BQ60" s="23">
        <f>IF(AND(COUNT($E60),N(BQ$2)=N($E60)),$E60,IF(AND(COUNT($E60),N(BQ$2)&gt;=N($G$2),N(BQ$2)&lt;N($E60))," ",""))</f>
        <v/>
      </c>
      <c r="BR60" s="23">
        <f>IF(AND(COUNT($E60),N(BR$2)=N($E60)),$E60,IF(AND(COUNT($E60),N(BR$2)&gt;=N($G$2),N(BR$2)&lt;N($E60))," ",""))</f>
        <v/>
      </c>
      <c r="BS60" s="23">
        <f>IF(AND(COUNT($E60),N(BS$2)=N($E60)),$E60,IF(AND(COUNT($E60),N(BS$2)&gt;=N($G$2),N(BS$2)&lt;N($E60))," ",""))</f>
        <v/>
      </c>
    </row>
    <row r="61" ht="20" customHeight="1">
      <c r="A61" s="21" t="inlineStr">
        <is>
          <t>预估</t>
        </is>
      </c>
      <c r="B61" s="21" t="inlineStr">
        <is>
          <t>第二期</t>
        </is>
      </c>
      <c r="C61" s="22" t="inlineStr">
        <is>
          <t>二期零件图纸整理归档</t>
        </is>
      </c>
      <c r="D61" s="23">
        <f>'时间节点计划表'!E31</f>
        <v/>
      </c>
      <c r="E61" s="23">
        <f>IF(COUNT('时间节点计划表'!F31),'时间节点计划表'!F31,"")</f>
        <v/>
      </c>
      <c r="F61" s="24" t="inlineStr"/>
      <c r="G61" s="25">
        <f>D61</f>
        <v/>
      </c>
      <c r="H61" s="26" t="n"/>
      <c r="I61" s="26" t="n"/>
      <c r="J61" s="26" t="n"/>
      <c r="K61" s="26" t="n"/>
      <c r="L61" s="26" t="n"/>
      <c r="M61" s="26" t="n"/>
      <c r="N61" s="26" t="n"/>
      <c r="O61" s="26" t="n"/>
      <c r="P61" s="26" t="n"/>
      <c r="Q61" s="26" t="n"/>
      <c r="R61" s="26" t="n"/>
      <c r="S61" s="26" t="n"/>
      <c r="T61" s="26" t="n"/>
      <c r="U61" s="26" t="n"/>
      <c r="V61" s="26" t="n"/>
      <c r="W61" s="26" t="n"/>
      <c r="X61" s="26" t="n"/>
      <c r="Y61" s="27" t="n"/>
      <c r="Z61" s="28" t="n"/>
      <c r="AA61" s="28" t="n"/>
      <c r="AB61" s="28" t="n"/>
      <c r="AC61" s="28" t="n"/>
      <c r="AD61" s="28" t="n"/>
      <c r="AE61" s="28" t="n"/>
      <c r="AF61" s="28" t="n"/>
      <c r="AG61" s="28" t="n"/>
      <c r="AH61" s="28" t="n"/>
      <c r="AI61" s="28" t="n"/>
      <c r="AJ61" s="28" t="n"/>
      <c r="AK61" s="28" t="n"/>
      <c r="AL61" s="28" t="n"/>
      <c r="AM61" s="28" t="n"/>
      <c r="AN61" s="28" t="n"/>
      <c r="AO61" s="28" t="n"/>
      <c r="AP61" s="28" t="n"/>
      <c r="AQ61" s="28" t="n"/>
      <c r="AR61" s="28" t="n"/>
      <c r="AS61" s="28" t="n"/>
      <c r="AT61" s="28" t="n"/>
      <c r="AU61" s="28" t="n"/>
      <c r="AV61" s="28" t="n"/>
      <c r="AW61" s="28" t="n"/>
      <c r="AX61" s="28" t="n"/>
      <c r="AY61" s="28" t="n"/>
      <c r="AZ61" s="28" t="n"/>
      <c r="BA61" s="28" t="n"/>
      <c r="BB61" s="28" t="n"/>
      <c r="BC61" s="28" t="n"/>
      <c r="BD61" s="28" t="n"/>
      <c r="BE61" s="28" t="n"/>
      <c r="BF61" s="28" t="n"/>
      <c r="BG61" s="28" t="n"/>
      <c r="BH61" s="28" t="n"/>
      <c r="BI61" s="28" t="n"/>
      <c r="BJ61" s="28" t="n"/>
      <c r="BK61" s="28" t="n"/>
      <c r="BL61" s="28" t="n"/>
      <c r="BM61" s="28" t="n"/>
      <c r="BN61" s="28" t="n"/>
      <c r="BO61" s="28" t="n"/>
      <c r="BP61" s="28" t="n"/>
      <c r="BQ61" s="28" t="n"/>
      <c r="BR61" s="28" t="n"/>
      <c r="BS61" s="28" t="n"/>
    </row>
    <row r="62" ht="20" customHeight="1">
      <c r="A62" s="29" t="inlineStr">
        <is>
          <t>实际</t>
        </is>
      </c>
      <c r="B62" s="29" t="inlineStr">
        <is>
          <t>第二期</t>
        </is>
      </c>
      <c r="C62" s="30" t="inlineStr">
        <is>
          <t>二期零件图纸整理归档</t>
        </is>
      </c>
      <c r="D62" s="31">
        <f>'时间节点计划表'!E31</f>
        <v/>
      </c>
      <c r="E62" s="31">
        <f>IF(COUNT('时间节点计划表'!F31),'时间节点计划表'!F31,"")</f>
        <v/>
      </c>
      <c r="F62" s="32">
        <f>IF(OR(D62="",E62=""),"待填",E62-D62)</f>
        <v/>
      </c>
      <c r="G62" s="23">
        <f>IF(AND(COUNT($E62),N(G$2)=N($E62)),$E62,IF(AND(COUNT($E62),N(G$2)&gt;=N($G$2),N(G$2)&lt;N($E62))," ",""))</f>
        <v/>
      </c>
      <c r="H62" s="23">
        <f>IF(AND(COUNT($E62),N(H$2)=N($E62)),$E62,IF(AND(COUNT($E62),N(H$2)&gt;=N($G$2),N(H$2)&lt;N($E62))," ",""))</f>
        <v/>
      </c>
      <c r="I62" s="23">
        <f>IF(AND(COUNT($E62),N(I$2)=N($E62)),$E62,IF(AND(COUNT($E62),N(I$2)&gt;=N($G$2),N(I$2)&lt;N($E62))," ",""))</f>
        <v/>
      </c>
      <c r="J62" s="23">
        <f>IF(AND(COUNT($E62),N(J$2)=N($E62)),$E62,IF(AND(COUNT($E62),N(J$2)&gt;=N($G$2),N(J$2)&lt;N($E62))," ",""))</f>
        <v/>
      </c>
      <c r="K62" s="23">
        <f>IF(AND(COUNT($E62),N(K$2)=N($E62)),$E62,IF(AND(COUNT($E62),N(K$2)&gt;=N($G$2),N(K$2)&lt;N($E62))," ",""))</f>
        <v/>
      </c>
      <c r="L62" s="23">
        <f>IF(AND(COUNT($E62),N(L$2)=N($E62)),$E62,IF(AND(COUNT($E62),N(L$2)&gt;=N($G$2),N(L$2)&lt;N($E62))," ",""))</f>
        <v/>
      </c>
      <c r="M62" s="23">
        <f>IF(AND(COUNT($E62),N(M$2)=N($E62)),$E62,IF(AND(COUNT($E62),N(M$2)&gt;=N($G$2),N(M$2)&lt;N($E62))," ",""))</f>
        <v/>
      </c>
      <c r="N62" s="23">
        <f>IF(AND(COUNT($E62),N(N$2)=N($E62)),$E62,IF(AND(COUNT($E62),N(N$2)&gt;=N($G$2),N(N$2)&lt;N($E62))," ",""))</f>
        <v/>
      </c>
      <c r="O62" s="23">
        <f>IF(AND(COUNT($E62),N(O$2)=N($E62)),$E62,IF(AND(COUNT($E62),N(O$2)&gt;=N($G$2),N(O$2)&lt;N($E62))," ",""))</f>
        <v/>
      </c>
      <c r="P62" s="23">
        <f>IF(AND(COUNT($E62),N(P$2)=N($E62)),$E62,IF(AND(COUNT($E62),N(P$2)&gt;=N($G$2),N(P$2)&lt;N($E62))," ",""))</f>
        <v/>
      </c>
      <c r="Q62" s="23">
        <f>IF(AND(COUNT($E62),N(Q$2)=N($E62)),$E62,IF(AND(COUNT($E62),N(Q$2)&gt;=N($G$2),N(Q$2)&lt;N($E62))," ",""))</f>
        <v/>
      </c>
      <c r="R62" s="23">
        <f>IF(AND(COUNT($E62),N(R$2)=N($E62)),$E62,IF(AND(COUNT($E62),N(R$2)&gt;=N($G$2),N(R$2)&lt;N($E62))," ",""))</f>
        <v/>
      </c>
      <c r="S62" s="23">
        <f>IF(AND(COUNT($E62),N(S$2)=N($E62)),$E62,IF(AND(COUNT($E62),N(S$2)&gt;=N($G$2),N(S$2)&lt;N($E62))," ",""))</f>
        <v/>
      </c>
      <c r="T62" s="23">
        <f>IF(AND(COUNT($E62),N(T$2)=N($E62)),$E62,IF(AND(COUNT($E62),N(T$2)&gt;=N($G$2),N(T$2)&lt;N($E62))," ",""))</f>
        <v/>
      </c>
      <c r="U62" s="23">
        <f>IF(AND(COUNT($E62),N(U$2)=N($E62)),$E62,IF(AND(COUNT($E62),N(U$2)&gt;=N($G$2),N(U$2)&lt;N($E62))," ",""))</f>
        <v/>
      </c>
      <c r="V62" s="23">
        <f>IF(AND(COUNT($E62),N(V$2)=N($E62)),$E62,IF(AND(COUNT($E62),N(V$2)&gt;=N($G$2),N(V$2)&lt;N($E62))," ",""))</f>
        <v/>
      </c>
      <c r="W62" s="23">
        <f>IF(AND(COUNT($E62),N(W$2)=N($E62)),$E62,IF(AND(COUNT($E62),N(W$2)&gt;=N($G$2),N(W$2)&lt;N($E62))," ",""))</f>
        <v/>
      </c>
      <c r="X62" s="23">
        <f>IF(AND(COUNT($E62),N(X$2)=N($E62)),$E62,IF(AND(COUNT($E62),N(X$2)&gt;=N($G$2),N(X$2)&lt;N($E62))," ",""))</f>
        <v/>
      </c>
      <c r="Y62" s="23">
        <f>IF(AND(COUNT($E62),N(Y$2)=N($E62)),$E62,IF(AND(COUNT($E62),N(Y$2)&gt;=N($G$2),N(Y$2)&lt;N($E62))," ",""))</f>
        <v/>
      </c>
      <c r="Z62" s="23">
        <f>IF(AND(COUNT($E62),N(Z$2)=N($E62)),$E62,IF(AND(COUNT($E62),N(Z$2)&gt;=N($G$2),N(Z$2)&lt;N($E62))," ",""))</f>
        <v/>
      </c>
      <c r="AA62" s="23">
        <f>IF(AND(COUNT($E62),N(AA$2)=N($E62)),$E62,IF(AND(COUNT($E62),N(AA$2)&gt;=N($G$2),N(AA$2)&lt;N($E62))," ",""))</f>
        <v/>
      </c>
      <c r="AB62" s="23">
        <f>IF(AND(COUNT($E62),N(AB$2)=N($E62)),$E62,IF(AND(COUNT($E62),N(AB$2)&gt;=N($G$2),N(AB$2)&lt;N($E62))," ",""))</f>
        <v/>
      </c>
      <c r="AC62" s="23">
        <f>IF(AND(COUNT($E62),N(AC$2)=N($E62)),$E62,IF(AND(COUNT($E62),N(AC$2)&gt;=N($G$2),N(AC$2)&lt;N($E62))," ",""))</f>
        <v/>
      </c>
      <c r="AD62" s="23">
        <f>IF(AND(COUNT($E62),N(AD$2)=N($E62)),$E62,IF(AND(COUNT($E62),N(AD$2)&gt;=N($G$2),N(AD$2)&lt;N($E62))," ",""))</f>
        <v/>
      </c>
      <c r="AE62" s="23">
        <f>IF(AND(COUNT($E62),N(AE$2)=N($E62)),$E62,IF(AND(COUNT($E62),N(AE$2)&gt;=N($G$2),N(AE$2)&lt;N($E62))," ",""))</f>
        <v/>
      </c>
      <c r="AF62" s="23">
        <f>IF(AND(COUNT($E62),N(AF$2)=N($E62)),$E62,IF(AND(COUNT($E62),N(AF$2)&gt;=N($G$2),N(AF$2)&lt;N($E62))," ",""))</f>
        <v/>
      </c>
      <c r="AG62" s="23">
        <f>IF(AND(COUNT($E62),N(AG$2)=N($E62)),$E62,IF(AND(COUNT($E62),N(AG$2)&gt;=N($G$2),N(AG$2)&lt;N($E62))," ",""))</f>
        <v/>
      </c>
      <c r="AH62" s="23">
        <f>IF(AND(COUNT($E62),N(AH$2)=N($E62)),$E62,IF(AND(COUNT($E62),N(AH$2)&gt;=N($G$2),N(AH$2)&lt;N($E62))," ",""))</f>
        <v/>
      </c>
      <c r="AI62" s="23">
        <f>IF(AND(COUNT($E62),N(AI$2)=N($E62)),$E62,IF(AND(COUNT($E62),N(AI$2)&gt;=N($G$2),N(AI$2)&lt;N($E62))," ",""))</f>
        <v/>
      </c>
      <c r="AJ62" s="23">
        <f>IF(AND(COUNT($E62),N(AJ$2)=N($E62)),$E62,IF(AND(COUNT($E62),N(AJ$2)&gt;=N($G$2),N(AJ$2)&lt;N($E62))," ",""))</f>
        <v/>
      </c>
      <c r="AK62" s="23">
        <f>IF(AND(COUNT($E62),N(AK$2)=N($E62)),$E62,IF(AND(COUNT($E62),N(AK$2)&gt;=N($G$2),N(AK$2)&lt;N($E62))," ",""))</f>
        <v/>
      </c>
      <c r="AL62" s="23">
        <f>IF(AND(COUNT($E62),N(AL$2)=N($E62)),$E62,IF(AND(COUNT($E62),N(AL$2)&gt;=N($G$2),N(AL$2)&lt;N($E62))," ",""))</f>
        <v/>
      </c>
      <c r="AM62" s="23">
        <f>IF(AND(COUNT($E62),N(AM$2)=N($E62)),$E62,IF(AND(COUNT($E62),N(AM$2)&gt;=N($G$2),N(AM$2)&lt;N($E62))," ",""))</f>
        <v/>
      </c>
      <c r="AN62" s="23">
        <f>IF(AND(COUNT($E62),N(AN$2)=N($E62)),$E62,IF(AND(COUNT($E62),N(AN$2)&gt;=N($G$2),N(AN$2)&lt;N($E62))," ",""))</f>
        <v/>
      </c>
      <c r="AO62" s="23">
        <f>IF(AND(COUNT($E62),N(AO$2)=N($E62)),$E62,IF(AND(COUNT($E62),N(AO$2)&gt;=N($G$2),N(AO$2)&lt;N($E62))," ",""))</f>
        <v/>
      </c>
      <c r="AP62" s="23">
        <f>IF(AND(COUNT($E62),N(AP$2)=N($E62)),$E62,IF(AND(COUNT($E62),N(AP$2)&gt;=N($G$2),N(AP$2)&lt;N($E62))," ",""))</f>
        <v/>
      </c>
      <c r="AQ62" s="23">
        <f>IF(AND(COUNT($E62),N(AQ$2)=N($E62)),$E62,IF(AND(COUNT($E62),N(AQ$2)&gt;=N($G$2),N(AQ$2)&lt;N($E62))," ",""))</f>
        <v/>
      </c>
      <c r="AR62" s="23">
        <f>IF(AND(COUNT($E62),N(AR$2)=N($E62)),$E62,IF(AND(COUNT($E62),N(AR$2)&gt;=N($G$2),N(AR$2)&lt;N($E62))," ",""))</f>
        <v/>
      </c>
      <c r="AS62" s="23">
        <f>IF(AND(COUNT($E62),N(AS$2)=N($E62)),$E62,IF(AND(COUNT($E62),N(AS$2)&gt;=N($G$2),N(AS$2)&lt;N($E62))," ",""))</f>
        <v/>
      </c>
      <c r="AT62" s="23">
        <f>IF(AND(COUNT($E62),N(AT$2)=N($E62)),$E62,IF(AND(COUNT($E62),N(AT$2)&gt;=N($G$2),N(AT$2)&lt;N($E62))," ",""))</f>
        <v/>
      </c>
      <c r="AU62" s="23">
        <f>IF(AND(COUNT($E62),N(AU$2)=N($E62)),$E62,IF(AND(COUNT($E62),N(AU$2)&gt;=N($G$2),N(AU$2)&lt;N($E62))," ",""))</f>
        <v/>
      </c>
      <c r="AV62" s="23">
        <f>IF(AND(COUNT($E62),N(AV$2)=N($E62)),$E62,IF(AND(COUNT($E62),N(AV$2)&gt;=N($G$2),N(AV$2)&lt;N($E62))," ",""))</f>
        <v/>
      </c>
      <c r="AW62" s="23">
        <f>IF(AND(COUNT($E62),N(AW$2)=N($E62)),$E62,IF(AND(COUNT($E62),N(AW$2)&gt;=N($G$2),N(AW$2)&lt;N($E62))," ",""))</f>
        <v/>
      </c>
      <c r="AX62" s="23">
        <f>IF(AND(COUNT($E62),N(AX$2)=N($E62)),$E62,IF(AND(COUNT($E62),N(AX$2)&gt;=N($G$2),N(AX$2)&lt;N($E62))," ",""))</f>
        <v/>
      </c>
      <c r="AY62" s="23">
        <f>IF(AND(COUNT($E62),N(AY$2)=N($E62)),$E62,IF(AND(COUNT($E62),N(AY$2)&gt;=N($G$2),N(AY$2)&lt;N($E62))," ",""))</f>
        <v/>
      </c>
      <c r="AZ62" s="23">
        <f>IF(AND(COUNT($E62),N(AZ$2)=N($E62)),$E62,IF(AND(COUNT($E62),N(AZ$2)&gt;=N($G$2),N(AZ$2)&lt;N($E62))," ",""))</f>
        <v/>
      </c>
      <c r="BA62" s="23">
        <f>IF(AND(COUNT($E62),N(BA$2)=N($E62)),$E62,IF(AND(COUNT($E62),N(BA$2)&gt;=N($G$2),N(BA$2)&lt;N($E62))," ",""))</f>
        <v/>
      </c>
      <c r="BB62" s="23">
        <f>IF(AND(COUNT($E62),N(BB$2)=N($E62)),$E62,IF(AND(COUNT($E62),N(BB$2)&gt;=N($G$2),N(BB$2)&lt;N($E62))," ",""))</f>
        <v/>
      </c>
      <c r="BC62" s="23">
        <f>IF(AND(COUNT($E62),N(BC$2)=N($E62)),$E62,IF(AND(COUNT($E62),N(BC$2)&gt;=N($G$2),N(BC$2)&lt;N($E62))," ",""))</f>
        <v/>
      </c>
      <c r="BD62" s="23">
        <f>IF(AND(COUNT($E62),N(BD$2)=N($E62)),$E62,IF(AND(COUNT($E62),N(BD$2)&gt;=N($G$2),N(BD$2)&lt;N($E62))," ",""))</f>
        <v/>
      </c>
      <c r="BE62" s="23">
        <f>IF(AND(COUNT($E62),N(BE$2)=N($E62)),$E62,IF(AND(COUNT($E62),N(BE$2)&gt;=N($G$2),N(BE$2)&lt;N($E62))," ",""))</f>
        <v/>
      </c>
      <c r="BF62" s="23">
        <f>IF(AND(COUNT($E62),N(BF$2)=N($E62)),$E62,IF(AND(COUNT($E62),N(BF$2)&gt;=N($G$2),N(BF$2)&lt;N($E62))," ",""))</f>
        <v/>
      </c>
      <c r="BG62" s="23">
        <f>IF(AND(COUNT($E62),N(BG$2)=N($E62)),$E62,IF(AND(COUNT($E62),N(BG$2)&gt;=N($G$2),N(BG$2)&lt;N($E62))," ",""))</f>
        <v/>
      </c>
      <c r="BH62" s="23">
        <f>IF(AND(COUNT($E62),N(BH$2)=N($E62)),$E62,IF(AND(COUNT($E62),N(BH$2)&gt;=N($G$2),N(BH$2)&lt;N($E62))," ",""))</f>
        <v/>
      </c>
      <c r="BI62" s="23">
        <f>IF(AND(COUNT($E62),N(BI$2)=N($E62)),$E62,IF(AND(COUNT($E62),N(BI$2)&gt;=N($G$2),N(BI$2)&lt;N($E62))," ",""))</f>
        <v/>
      </c>
      <c r="BJ62" s="23">
        <f>IF(AND(COUNT($E62),N(BJ$2)=N($E62)),$E62,IF(AND(COUNT($E62),N(BJ$2)&gt;=N($G$2),N(BJ$2)&lt;N($E62))," ",""))</f>
        <v/>
      </c>
      <c r="BK62" s="23">
        <f>IF(AND(COUNT($E62),N(BK$2)=N($E62)),$E62,IF(AND(COUNT($E62),N(BK$2)&gt;=N($G$2),N(BK$2)&lt;N($E62))," ",""))</f>
        <v/>
      </c>
      <c r="BL62" s="23">
        <f>IF(AND(COUNT($E62),N(BL$2)=N($E62)),$E62,IF(AND(COUNT($E62),N(BL$2)&gt;=N($G$2),N(BL$2)&lt;N($E62))," ",""))</f>
        <v/>
      </c>
      <c r="BM62" s="23">
        <f>IF(AND(COUNT($E62),N(BM$2)=N($E62)),$E62,IF(AND(COUNT($E62),N(BM$2)&gt;=N($G$2),N(BM$2)&lt;N($E62))," ",""))</f>
        <v/>
      </c>
      <c r="BN62" s="23">
        <f>IF(AND(COUNT($E62),N(BN$2)=N($E62)),$E62,IF(AND(COUNT($E62),N(BN$2)&gt;=N($G$2),N(BN$2)&lt;N($E62))," ",""))</f>
        <v/>
      </c>
      <c r="BO62" s="23">
        <f>IF(AND(COUNT($E62),N(BO$2)=N($E62)),$E62,IF(AND(COUNT($E62),N(BO$2)&gt;=N($G$2),N(BO$2)&lt;N($E62))," ",""))</f>
        <v/>
      </c>
      <c r="BP62" s="23">
        <f>IF(AND(COUNT($E62),N(BP$2)=N($E62)),$E62,IF(AND(COUNT($E62),N(BP$2)&gt;=N($G$2),N(BP$2)&lt;N($E62))," ",""))</f>
        <v/>
      </c>
      <c r="BQ62" s="23">
        <f>IF(AND(COUNT($E62),N(BQ$2)=N($E62)),$E62,IF(AND(COUNT($E62),N(BQ$2)&gt;=N($G$2),N(BQ$2)&lt;N($E62))," ",""))</f>
        <v/>
      </c>
      <c r="BR62" s="23">
        <f>IF(AND(COUNT($E62),N(BR$2)=N($E62)),$E62,IF(AND(COUNT($E62),N(BR$2)&gt;=N($G$2),N(BR$2)&lt;N($E62))," ",""))</f>
        <v/>
      </c>
      <c r="BS62" s="23">
        <f>IF(AND(COUNT($E62),N(BS$2)=N($E62)),$E62,IF(AND(COUNT($E62),N(BS$2)&gt;=N($G$2),N(BS$2)&lt;N($E62))," ",""))</f>
        <v/>
      </c>
    </row>
    <row r="63" ht="20" customHeight="1">
      <c r="A63" s="21" t="inlineStr">
        <is>
          <t>预估</t>
        </is>
      </c>
      <c r="B63" s="21" t="inlineStr">
        <is>
          <t>第二期</t>
        </is>
      </c>
      <c r="C63" s="22" t="inlineStr">
        <is>
          <t>二期零件下单采购</t>
        </is>
      </c>
      <c r="D63" s="23">
        <f>'时间节点计划表'!E32</f>
        <v/>
      </c>
      <c r="E63" s="23">
        <f>IF(COUNT('时间节点计划表'!F32),'时间节点计划表'!F32,"")</f>
        <v/>
      </c>
      <c r="F63" s="24" t="inlineStr"/>
      <c r="G63" s="25">
        <f>D63</f>
        <v/>
      </c>
      <c r="H63" s="26" t="n"/>
      <c r="I63" s="26" t="n"/>
      <c r="J63" s="26" t="n"/>
      <c r="K63" s="26" t="n"/>
      <c r="L63" s="26" t="n"/>
      <c r="M63" s="26" t="n"/>
      <c r="N63" s="26" t="n"/>
      <c r="O63" s="26" t="n"/>
      <c r="P63" s="26" t="n"/>
      <c r="Q63" s="26" t="n"/>
      <c r="R63" s="26" t="n"/>
      <c r="S63" s="26" t="n"/>
      <c r="T63" s="26" t="n"/>
      <c r="U63" s="26" t="n"/>
      <c r="V63" s="26" t="n"/>
      <c r="W63" s="26" t="n"/>
      <c r="X63" s="26" t="n"/>
      <c r="Y63" s="26" t="n"/>
      <c r="Z63" s="26" t="n"/>
      <c r="AA63" s="26" t="n"/>
      <c r="AB63" s="27" t="n"/>
      <c r="AC63" s="28" t="n"/>
      <c r="AD63" s="28" t="n"/>
      <c r="AE63" s="28" t="n"/>
      <c r="AF63" s="28" t="n"/>
      <c r="AG63" s="28" t="n"/>
      <c r="AH63" s="28" t="n"/>
      <c r="AI63" s="28" t="n"/>
      <c r="AJ63" s="28" t="n"/>
      <c r="AK63" s="28" t="n"/>
      <c r="AL63" s="28" t="n"/>
      <c r="AM63" s="28" t="n"/>
      <c r="AN63" s="28" t="n"/>
      <c r="AO63" s="28" t="n"/>
      <c r="AP63" s="28" t="n"/>
      <c r="AQ63" s="28" t="n"/>
      <c r="AR63" s="28" t="n"/>
      <c r="AS63" s="28" t="n"/>
      <c r="AT63" s="28" t="n"/>
      <c r="AU63" s="28" t="n"/>
      <c r="AV63" s="28" t="n"/>
      <c r="AW63" s="28" t="n"/>
      <c r="AX63" s="28" t="n"/>
      <c r="AY63" s="28" t="n"/>
      <c r="AZ63" s="28" t="n"/>
      <c r="BA63" s="28" t="n"/>
      <c r="BB63" s="28" t="n"/>
      <c r="BC63" s="28" t="n"/>
      <c r="BD63" s="28" t="n"/>
      <c r="BE63" s="28" t="n"/>
      <c r="BF63" s="28" t="n"/>
      <c r="BG63" s="28" t="n"/>
      <c r="BH63" s="28" t="n"/>
      <c r="BI63" s="28" t="n"/>
      <c r="BJ63" s="28" t="n"/>
      <c r="BK63" s="28" t="n"/>
      <c r="BL63" s="28" t="n"/>
      <c r="BM63" s="28" t="n"/>
      <c r="BN63" s="28" t="n"/>
      <c r="BO63" s="28" t="n"/>
      <c r="BP63" s="28" t="n"/>
      <c r="BQ63" s="28" t="n"/>
      <c r="BR63" s="28" t="n"/>
      <c r="BS63" s="28" t="n"/>
    </row>
    <row r="64" ht="20" customHeight="1">
      <c r="A64" s="29" t="inlineStr">
        <is>
          <t>实际</t>
        </is>
      </c>
      <c r="B64" s="29" t="inlineStr">
        <is>
          <t>第二期</t>
        </is>
      </c>
      <c r="C64" s="30" t="inlineStr">
        <is>
          <t>二期零件下单采购</t>
        </is>
      </c>
      <c r="D64" s="31">
        <f>'时间节点计划表'!E32</f>
        <v/>
      </c>
      <c r="E64" s="31">
        <f>IF(COUNT('时间节点计划表'!F32),'时间节点计划表'!F32,"")</f>
        <v/>
      </c>
      <c r="F64" s="32">
        <f>IF(OR(D64="",E64=""),"待填",E64-D64)</f>
        <v/>
      </c>
      <c r="G64" s="23">
        <f>IF(AND(COUNT($E64),N(G$2)=N($E64)),$E64,IF(AND(COUNT($E64),N(G$2)&gt;=N($G$2),N(G$2)&lt;N($E64))," ",""))</f>
        <v/>
      </c>
      <c r="H64" s="23">
        <f>IF(AND(COUNT($E64),N(H$2)=N($E64)),$E64,IF(AND(COUNT($E64),N(H$2)&gt;=N($G$2),N(H$2)&lt;N($E64))," ",""))</f>
        <v/>
      </c>
      <c r="I64" s="23">
        <f>IF(AND(COUNT($E64),N(I$2)=N($E64)),$E64,IF(AND(COUNT($E64),N(I$2)&gt;=N($G$2),N(I$2)&lt;N($E64))," ",""))</f>
        <v/>
      </c>
      <c r="J64" s="23">
        <f>IF(AND(COUNT($E64),N(J$2)=N($E64)),$E64,IF(AND(COUNT($E64),N(J$2)&gt;=N($G$2),N(J$2)&lt;N($E64))," ",""))</f>
        <v/>
      </c>
      <c r="K64" s="23">
        <f>IF(AND(COUNT($E64),N(K$2)=N($E64)),$E64,IF(AND(COUNT($E64),N(K$2)&gt;=N($G$2),N(K$2)&lt;N($E64))," ",""))</f>
        <v/>
      </c>
      <c r="L64" s="23">
        <f>IF(AND(COUNT($E64),N(L$2)=N($E64)),$E64,IF(AND(COUNT($E64),N(L$2)&gt;=N($G$2),N(L$2)&lt;N($E64))," ",""))</f>
        <v/>
      </c>
      <c r="M64" s="23">
        <f>IF(AND(COUNT($E64),N(M$2)=N($E64)),$E64,IF(AND(COUNT($E64),N(M$2)&gt;=N($G$2),N(M$2)&lt;N($E64))," ",""))</f>
        <v/>
      </c>
      <c r="N64" s="23">
        <f>IF(AND(COUNT($E64),N(N$2)=N($E64)),$E64,IF(AND(COUNT($E64),N(N$2)&gt;=N($G$2),N(N$2)&lt;N($E64))," ",""))</f>
        <v/>
      </c>
      <c r="O64" s="23">
        <f>IF(AND(COUNT($E64),N(O$2)=N($E64)),$E64,IF(AND(COUNT($E64),N(O$2)&gt;=N($G$2),N(O$2)&lt;N($E64))," ",""))</f>
        <v/>
      </c>
      <c r="P64" s="23">
        <f>IF(AND(COUNT($E64),N(P$2)=N($E64)),$E64,IF(AND(COUNT($E64),N(P$2)&gt;=N($G$2),N(P$2)&lt;N($E64))," ",""))</f>
        <v/>
      </c>
      <c r="Q64" s="23">
        <f>IF(AND(COUNT($E64),N(Q$2)=N($E64)),$E64,IF(AND(COUNT($E64),N(Q$2)&gt;=N($G$2),N(Q$2)&lt;N($E64))," ",""))</f>
        <v/>
      </c>
      <c r="R64" s="23">
        <f>IF(AND(COUNT($E64),N(R$2)=N($E64)),$E64,IF(AND(COUNT($E64),N(R$2)&gt;=N($G$2),N(R$2)&lt;N($E64))," ",""))</f>
        <v/>
      </c>
      <c r="S64" s="23">
        <f>IF(AND(COUNT($E64),N(S$2)=N($E64)),$E64,IF(AND(COUNT($E64),N(S$2)&gt;=N($G$2),N(S$2)&lt;N($E64))," ",""))</f>
        <v/>
      </c>
      <c r="T64" s="23">
        <f>IF(AND(COUNT($E64),N(T$2)=N($E64)),$E64,IF(AND(COUNT($E64),N(T$2)&gt;=N($G$2),N(T$2)&lt;N($E64))," ",""))</f>
        <v/>
      </c>
      <c r="U64" s="23">
        <f>IF(AND(COUNT($E64),N(U$2)=N($E64)),$E64,IF(AND(COUNT($E64),N(U$2)&gt;=N($G$2),N(U$2)&lt;N($E64))," ",""))</f>
        <v/>
      </c>
      <c r="V64" s="23">
        <f>IF(AND(COUNT($E64),N(V$2)=N($E64)),$E64,IF(AND(COUNT($E64),N(V$2)&gt;=N($G$2),N(V$2)&lt;N($E64))," ",""))</f>
        <v/>
      </c>
      <c r="W64" s="23">
        <f>IF(AND(COUNT($E64),N(W$2)=N($E64)),$E64,IF(AND(COUNT($E64),N(W$2)&gt;=N($G$2),N(W$2)&lt;N($E64))," ",""))</f>
        <v/>
      </c>
      <c r="X64" s="23">
        <f>IF(AND(COUNT($E64),N(X$2)=N($E64)),$E64,IF(AND(COUNT($E64),N(X$2)&gt;=N($G$2),N(X$2)&lt;N($E64))," ",""))</f>
        <v/>
      </c>
      <c r="Y64" s="23">
        <f>IF(AND(COUNT($E64),N(Y$2)=N($E64)),$E64,IF(AND(COUNT($E64),N(Y$2)&gt;=N($G$2),N(Y$2)&lt;N($E64))," ",""))</f>
        <v/>
      </c>
      <c r="Z64" s="23">
        <f>IF(AND(COUNT($E64),N(Z$2)=N($E64)),$E64,IF(AND(COUNT($E64),N(Z$2)&gt;=N($G$2),N(Z$2)&lt;N($E64))," ",""))</f>
        <v/>
      </c>
      <c r="AA64" s="23">
        <f>IF(AND(COUNT($E64),N(AA$2)=N($E64)),$E64,IF(AND(COUNT($E64),N(AA$2)&gt;=N($G$2),N(AA$2)&lt;N($E64))," ",""))</f>
        <v/>
      </c>
      <c r="AB64" s="23">
        <f>IF(AND(COUNT($E64),N(AB$2)=N($E64)),$E64,IF(AND(COUNT($E64),N(AB$2)&gt;=N($G$2),N(AB$2)&lt;N($E64))," ",""))</f>
        <v/>
      </c>
      <c r="AC64" s="23">
        <f>IF(AND(COUNT($E64),N(AC$2)=N($E64)),$E64,IF(AND(COUNT($E64),N(AC$2)&gt;=N($G$2),N(AC$2)&lt;N($E64))," ",""))</f>
        <v/>
      </c>
      <c r="AD64" s="23">
        <f>IF(AND(COUNT($E64),N(AD$2)=N($E64)),$E64,IF(AND(COUNT($E64),N(AD$2)&gt;=N($G$2),N(AD$2)&lt;N($E64))," ",""))</f>
        <v/>
      </c>
      <c r="AE64" s="23">
        <f>IF(AND(COUNT($E64),N(AE$2)=N($E64)),$E64,IF(AND(COUNT($E64),N(AE$2)&gt;=N($G$2),N(AE$2)&lt;N($E64))," ",""))</f>
        <v/>
      </c>
      <c r="AF64" s="23">
        <f>IF(AND(COUNT($E64),N(AF$2)=N($E64)),$E64,IF(AND(COUNT($E64),N(AF$2)&gt;=N($G$2),N(AF$2)&lt;N($E64))," ",""))</f>
        <v/>
      </c>
      <c r="AG64" s="23">
        <f>IF(AND(COUNT($E64),N(AG$2)=N($E64)),$E64,IF(AND(COUNT($E64),N(AG$2)&gt;=N($G$2),N(AG$2)&lt;N($E64))," ",""))</f>
        <v/>
      </c>
      <c r="AH64" s="23">
        <f>IF(AND(COUNT($E64),N(AH$2)=N($E64)),$E64,IF(AND(COUNT($E64),N(AH$2)&gt;=N($G$2),N(AH$2)&lt;N($E64))," ",""))</f>
        <v/>
      </c>
      <c r="AI64" s="23">
        <f>IF(AND(COUNT($E64),N(AI$2)=N($E64)),$E64,IF(AND(COUNT($E64),N(AI$2)&gt;=N($G$2),N(AI$2)&lt;N($E64))," ",""))</f>
        <v/>
      </c>
      <c r="AJ64" s="23">
        <f>IF(AND(COUNT($E64),N(AJ$2)=N($E64)),$E64,IF(AND(COUNT($E64),N(AJ$2)&gt;=N($G$2),N(AJ$2)&lt;N($E64))," ",""))</f>
        <v/>
      </c>
      <c r="AK64" s="23">
        <f>IF(AND(COUNT($E64),N(AK$2)=N($E64)),$E64,IF(AND(COUNT($E64),N(AK$2)&gt;=N($G$2),N(AK$2)&lt;N($E64))," ",""))</f>
        <v/>
      </c>
      <c r="AL64" s="23">
        <f>IF(AND(COUNT($E64),N(AL$2)=N($E64)),$E64,IF(AND(COUNT($E64),N(AL$2)&gt;=N($G$2),N(AL$2)&lt;N($E64))," ",""))</f>
        <v/>
      </c>
      <c r="AM64" s="23">
        <f>IF(AND(COUNT($E64),N(AM$2)=N($E64)),$E64,IF(AND(COUNT($E64),N(AM$2)&gt;=N($G$2),N(AM$2)&lt;N($E64))," ",""))</f>
        <v/>
      </c>
      <c r="AN64" s="23">
        <f>IF(AND(COUNT($E64),N(AN$2)=N($E64)),$E64,IF(AND(COUNT($E64),N(AN$2)&gt;=N($G$2),N(AN$2)&lt;N($E64))," ",""))</f>
        <v/>
      </c>
      <c r="AO64" s="23">
        <f>IF(AND(COUNT($E64),N(AO$2)=N($E64)),$E64,IF(AND(COUNT($E64),N(AO$2)&gt;=N($G$2),N(AO$2)&lt;N($E64))," ",""))</f>
        <v/>
      </c>
      <c r="AP64" s="23">
        <f>IF(AND(COUNT($E64),N(AP$2)=N($E64)),$E64,IF(AND(COUNT($E64),N(AP$2)&gt;=N($G$2),N(AP$2)&lt;N($E64))," ",""))</f>
        <v/>
      </c>
      <c r="AQ64" s="23">
        <f>IF(AND(COUNT($E64),N(AQ$2)=N($E64)),$E64,IF(AND(COUNT($E64),N(AQ$2)&gt;=N($G$2),N(AQ$2)&lt;N($E64))," ",""))</f>
        <v/>
      </c>
      <c r="AR64" s="23">
        <f>IF(AND(COUNT($E64),N(AR$2)=N($E64)),$E64,IF(AND(COUNT($E64),N(AR$2)&gt;=N($G$2),N(AR$2)&lt;N($E64))," ",""))</f>
        <v/>
      </c>
      <c r="AS64" s="23">
        <f>IF(AND(COUNT($E64),N(AS$2)=N($E64)),$E64,IF(AND(COUNT($E64),N(AS$2)&gt;=N($G$2),N(AS$2)&lt;N($E64))," ",""))</f>
        <v/>
      </c>
      <c r="AT64" s="23">
        <f>IF(AND(COUNT($E64),N(AT$2)=N($E64)),$E64,IF(AND(COUNT($E64),N(AT$2)&gt;=N($G$2),N(AT$2)&lt;N($E64))," ",""))</f>
        <v/>
      </c>
      <c r="AU64" s="23">
        <f>IF(AND(COUNT($E64),N(AU$2)=N($E64)),$E64,IF(AND(COUNT($E64),N(AU$2)&gt;=N($G$2),N(AU$2)&lt;N($E64))," ",""))</f>
        <v/>
      </c>
      <c r="AV64" s="23">
        <f>IF(AND(COUNT($E64),N(AV$2)=N($E64)),$E64,IF(AND(COUNT($E64),N(AV$2)&gt;=N($G$2),N(AV$2)&lt;N($E64))," ",""))</f>
        <v/>
      </c>
      <c r="AW64" s="23">
        <f>IF(AND(COUNT($E64),N(AW$2)=N($E64)),$E64,IF(AND(COUNT($E64),N(AW$2)&gt;=N($G$2),N(AW$2)&lt;N($E64))," ",""))</f>
        <v/>
      </c>
      <c r="AX64" s="23">
        <f>IF(AND(COUNT($E64),N(AX$2)=N($E64)),$E64,IF(AND(COUNT($E64),N(AX$2)&gt;=N($G$2),N(AX$2)&lt;N($E64))," ",""))</f>
        <v/>
      </c>
      <c r="AY64" s="23">
        <f>IF(AND(COUNT($E64),N(AY$2)=N($E64)),$E64,IF(AND(COUNT($E64),N(AY$2)&gt;=N($G$2),N(AY$2)&lt;N($E64))," ",""))</f>
        <v/>
      </c>
      <c r="AZ64" s="23">
        <f>IF(AND(COUNT($E64),N(AZ$2)=N($E64)),$E64,IF(AND(COUNT($E64),N(AZ$2)&gt;=N($G$2),N(AZ$2)&lt;N($E64))," ",""))</f>
        <v/>
      </c>
      <c r="BA64" s="23">
        <f>IF(AND(COUNT($E64),N(BA$2)=N($E64)),$E64,IF(AND(COUNT($E64),N(BA$2)&gt;=N($G$2),N(BA$2)&lt;N($E64))," ",""))</f>
        <v/>
      </c>
      <c r="BB64" s="23">
        <f>IF(AND(COUNT($E64),N(BB$2)=N($E64)),$E64,IF(AND(COUNT($E64),N(BB$2)&gt;=N($G$2),N(BB$2)&lt;N($E64))," ",""))</f>
        <v/>
      </c>
      <c r="BC64" s="23">
        <f>IF(AND(COUNT($E64),N(BC$2)=N($E64)),$E64,IF(AND(COUNT($E64),N(BC$2)&gt;=N($G$2),N(BC$2)&lt;N($E64))," ",""))</f>
        <v/>
      </c>
      <c r="BD64" s="23">
        <f>IF(AND(COUNT($E64),N(BD$2)=N($E64)),$E64,IF(AND(COUNT($E64),N(BD$2)&gt;=N($G$2),N(BD$2)&lt;N($E64))," ",""))</f>
        <v/>
      </c>
      <c r="BE64" s="23">
        <f>IF(AND(COUNT($E64),N(BE$2)=N($E64)),$E64,IF(AND(COUNT($E64),N(BE$2)&gt;=N($G$2),N(BE$2)&lt;N($E64))," ",""))</f>
        <v/>
      </c>
      <c r="BF64" s="23">
        <f>IF(AND(COUNT($E64),N(BF$2)=N($E64)),$E64,IF(AND(COUNT($E64),N(BF$2)&gt;=N($G$2),N(BF$2)&lt;N($E64))," ",""))</f>
        <v/>
      </c>
      <c r="BG64" s="23">
        <f>IF(AND(COUNT($E64),N(BG$2)=N($E64)),$E64,IF(AND(COUNT($E64),N(BG$2)&gt;=N($G$2),N(BG$2)&lt;N($E64))," ",""))</f>
        <v/>
      </c>
      <c r="BH64" s="23">
        <f>IF(AND(COUNT($E64),N(BH$2)=N($E64)),$E64,IF(AND(COUNT($E64),N(BH$2)&gt;=N($G$2),N(BH$2)&lt;N($E64))," ",""))</f>
        <v/>
      </c>
      <c r="BI64" s="23">
        <f>IF(AND(COUNT($E64),N(BI$2)=N($E64)),$E64,IF(AND(COUNT($E64),N(BI$2)&gt;=N($G$2),N(BI$2)&lt;N($E64))," ",""))</f>
        <v/>
      </c>
      <c r="BJ64" s="23">
        <f>IF(AND(COUNT($E64),N(BJ$2)=N($E64)),$E64,IF(AND(COUNT($E64),N(BJ$2)&gt;=N($G$2),N(BJ$2)&lt;N($E64))," ",""))</f>
        <v/>
      </c>
      <c r="BK64" s="23">
        <f>IF(AND(COUNT($E64),N(BK$2)=N($E64)),$E64,IF(AND(COUNT($E64),N(BK$2)&gt;=N($G$2),N(BK$2)&lt;N($E64))," ",""))</f>
        <v/>
      </c>
      <c r="BL64" s="23">
        <f>IF(AND(COUNT($E64),N(BL$2)=N($E64)),$E64,IF(AND(COUNT($E64),N(BL$2)&gt;=N($G$2),N(BL$2)&lt;N($E64))," ",""))</f>
        <v/>
      </c>
      <c r="BM64" s="23">
        <f>IF(AND(COUNT($E64),N(BM$2)=N($E64)),$E64,IF(AND(COUNT($E64),N(BM$2)&gt;=N($G$2),N(BM$2)&lt;N($E64))," ",""))</f>
        <v/>
      </c>
      <c r="BN64" s="23">
        <f>IF(AND(COUNT($E64),N(BN$2)=N($E64)),$E64,IF(AND(COUNT($E64),N(BN$2)&gt;=N($G$2),N(BN$2)&lt;N($E64))," ",""))</f>
        <v/>
      </c>
      <c r="BO64" s="23">
        <f>IF(AND(COUNT($E64),N(BO$2)=N($E64)),$E64,IF(AND(COUNT($E64),N(BO$2)&gt;=N($G$2),N(BO$2)&lt;N($E64))," ",""))</f>
        <v/>
      </c>
      <c r="BP64" s="23">
        <f>IF(AND(COUNT($E64),N(BP$2)=N($E64)),$E64,IF(AND(COUNT($E64),N(BP$2)&gt;=N($G$2),N(BP$2)&lt;N($E64))," ",""))</f>
        <v/>
      </c>
      <c r="BQ64" s="23">
        <f>IF(AND(COUNT($E64),N(BQ$2)=N($E64)),$E64,IF(AND(COUNT($E64),N(BQ$2)&gt;=N($G$2),N(BQ$2)&lt;N($E64))," ",""))</f>
        <v/>
      </c>
      <c r="BR64" s="23">
        <f>IF(AND(COUNT($E64),N(BR$2)=N($E64)),$E64,IF(AND(COUNT($E64),N(BR$2)&gt;=N($G$2),N(BR$2)&lt;N($E64))," ",""))</f>
        <v/>
      </c>
      <c r="BS64" s="23">
        <f>IF(AND(COUNT($E64),N(BS$2)=N($E64)),$E64,IF(AND(COUNT($E64),N(BS$2)&gt;=N($G$2),N(BS$2)&lt;N($E64))," ",""))</f>
        <v/>
      </c>
    </row>
    <row r="65" ht="20" customHeight="1">
      <c r="A65" s="21" t="inlineStr">
        <is>
          <t>预估</t>
        </is>
      </c>
      <c r="B65" s="21" t="inlineStr">
        <is>
          <t>第二期</t>
        </is>
      </c>
      <c r="C65" s="22" t="inlineStr">
        <is>
          <t>二期标准件下单采购</t>
        </is>
      </c>
      <c r="D65" s="23">
        <f>'时间节点计划表'!E33</f>
        <v/>
      </c>
      <c r="E65" s="23">
        <f>IF(COUNT('时间节点计划表'!F33),'时间节点计划表'!F33,"")</f>
        <v/>
      </c>
      <c r="F65" s="24" t="inlineStr"/>
      <c r="G65" s="25">
        <f>D65</f>
        <v/>
      </c>
      <c r="H65" s="26" t="n"/>
      <c r="I65" s="26" t="n"/>
      <c r="J65" s="26" t="n"/>
      <c r="K65" s="26" t="n"/>
      <c r="L65" s="26" t="n"/>
      <c r="M65" s="26" t="n"/>
      <c r="N65" s="26" t="n"/>
      <c r="O65" s="26" t="n"/>
      <c r="P65" s="26" t="n"/>
      <c r="Q65" s="26" t="n"/>
      <c r="R65" s="26" t="n"/>
      <c r="S65" s="26" t="n"/>
      <c r="T65" s="26" t="n"/>
      <c r="U65" s="26" t="n"/>
      <c r="V65" s="26" t="n"/>
      <c r="W65" s="26" t="n"/>
      <c r="X65" s="26" t="n"/>
      <c r="Y65" s="26" t="n"/>
      <c r="Z65" s="26" t="n"/>
      <c r="AA65" s="26" t="n"/>
      <c r="AB65" s="27" t="n"/>
      <c r="AC65" s="28" t="n"/>
      <c r="AD65" s="28" t="n"/>
      <c r="AE65" s="28" t="n"/>
      <c r="AF65" s="28" t="n"/>
      <c r="AG65" s="28" t="n"/>
      <c r="AH65" s="28" t="n"/>
      <c r="AI65" s="28" t="n"/>
      <c r="AJ65" s="28" t="n"/>
      <c r="AK65" s="28" t="n"/>
      <c r="AL65" s="28" t="n"/>
      <c r="AM65" s="28" t="n"/>
      <c r="AN65" s="28" t="n"/>
      <c r="AO65" s="28" t="n"/>
      <c r="AP65" s="28" t="n"/>
      <c r="AQ65" s="28" t="n"/>
      <c r="AR65" s="28" t="n"/>
      <c r="AS65" s="28" t="n"/>
      <c r="AT65" s="28" t="n"/>
      <c r="AU65" s="28" t="n"/>
      <c r="AV65" s="28" t="n"/>
      <c r="AW65" s="28" t="n"/>
      <c r="AX65" s="28" t="n"/>
      <c r="AY65" s="28" t="n"/>
      <c r="AZ65" s="28" t="n"/>
      <c r="BA65" s="28" t="n"/>
      <c r="BB65" s="28" t="n"/>
      <c r="BC65" s="28" t="n"/>
      <c r="BD65" s="28" t="n"/>
      <c r="BE65" s="28" t="n"/>
      <c r="BF65" s="28" t="n"/>
      <c r="BG65" s="28" t="n"/>
      <c r="BH65" s="28" t="n"/>
      <c r="BI65" s="28" t="n"/>
      <c r="BJ65" s="28" t="n"/>
      <c r="BK65" s="28" t="n"/>
      <c r="BL65" s="28" t="n"/>
      <c r="BM65" s="28" t="n"/>
      <c r="BN65" s="28" t="n"/>
      <c r="BO65" s="28" t="n"/>
      <c r="BP65" s="28" t="n"/>
      <c r="BQ65" s="28" t="n"/>
      <c r="BR65" s="28" t="n"/>
      <c r="BS65" s="28" t="n"/>
    </row>
    <row r="66" ht="20" customHeight="1">
      <c r="A66" s="29" t="inlineStr">
        <is>
          <t>实际</t>
        </is>
      </c>
      <c r="B66" s="29" t="inlineStr">
        <is>
          <t>第二期</t>
        </is>
      </c>
      <c r="C66" s="30" t="inlineStr">
        <is>
          <t>二期标准件下单采购</t>
        </is>
      </c>
      <c r="D66" s="31">
        <f>'时间节点计划表'!E33</f>
        <v/>
      </c>
      <c r="E66" s="31">
        <f>IF(COUNT('时间节点计划表'!F33),'时间节点计划表'!F33,"")</f>
        <v/>
      </c>
      <c r="F66" s="32">
        <f>IF(OR(D66="",E66=""),"待填",E66-D66)</f>
        <v/>
      </c>
      <c r="G66" s="23">
        <f>IF(AND(COUNT($E66),N(G$2)=N($E66)),$E66,IF(AND(COUNT($E66),N(G$2)&gt;=N($G$2),N(G$2)&lt;N($E66))," ",""))</f>
        <v/>
      </c>
      <c r="H66" s="23">
        <f>IF(AND(COUNT($E66),N(H$2)=N($E66)),$E66,IF(AND(COUNT($E66),N(H$2)&gt;=N($G$2),N(H$2)&lt;N($E66))," ",""))</f>
        <v/>
      </c>
      <c r="I66" s="23">
        <f>IF(AND(COUNT($E66),N(I$2)=N($E66)),$E66,IF(AND(COUNT($E66),N(I$2)&gt;=N($G$2),N(I$2)&lt;N($E66))," ",""))</f>
        <v/>
      </c>
      <c r="J66" s="23">
        <f>IF(AND(COUNT($E66),N(J$2)=N($E66)),$E66,IF(AND(COUNT($E66),N(J$2)&gt;=N($G$2),N(J$2)&lt;N($E66))," ",""))</f>
        <v/>
      </c>
      <c r="K66" s="23">
        <f>IF(AND(COUNT($E66),N(K$2)=N($E66)),$E66,IF(AND(COUNT($E66),N(K$2)&gt;=N($G$2),N(K$2)&lt;N($E66))," ",""))</f>
        <v/>
      </c>
      <c r="L66" s="23">
        <f>IF(AND(COUNT($E66),N(L$2)=N($E66)),$E66,IF(AND(COUNT($E66),N(L$2)&gt;=N($G$2),N(L$2)&lt;N($E66))," ",""))</f>
        <v/>
      </c>
      <c r="M66" s="23">
        <f>IF(AND(COUNT($E66),N(M$2)=N($E66)),$E66,IF(AND(COUNT($E66),N(M$2)&gt;=N($G$2),N(M$2)&lt;N($E66))," ",""))</f>
        <v/>
      </c>
      <c r="N66" s="23">
        <f>IF(AND(COUNT($E66),N(N$2)=N($E66)),$E66,IF(AND(COUNT($E66),N(N$2)&gt;=N($G$2),N(N$2)&lt;N($E66))," ",""))</f>
        <v/>
      </c>
      <c r="O66" s="23">
        <f>IF(AND(COUNT($E66),N(O$2)=N($E66)),$E66,IF(AND(COUNT($E66),N(O$2)&gt;=N($G$2),N(O$2)&lt;N($E66))," ",""))</f>
        <v/>
      </c>
      <c r="P66" s="23">
        <f>IF(AND(COUNT($E66),N(P$2)=N($E66)),$E66,IF(AND(COUNT($E66),N(P$2)&gt;=N($G$2),N(P$2)&lt;N($E66))," ",""))</f>
        <v/>
      </c>
      <c r="Q66" s="23">
        <f>IF(AND(COUNT($E66),N(Q$2)=N($E66)),$E66,IF(AND(COUNT($E66),N(Q$2)&gt;=N($G$2),N(Q$2)&lt;N($E66))," ",""))</f>
        <v/>
      </c>
      <c r="R66" s="23">
        <f>IF(AND(COUNT($E66),N(R$2)=N($E66)),$E66,IF(AND(COUNT($E66),N(R$2)&gt;=N($G$2),N(R$2)&lt;N($E66))," ",""))</f>
        <v/>
      </c>
      <c r="S66" s="23">
        <f>IF(AND(COUNT($E66),N(S$2)=N($E66)),$E66,IF(AND(COUNT($E66),N(S$2)&gt;=N($G$2),N(S$2)&lt;N($E66))," ",""))</f>
        <v/>
      </c>
      <c r="T66" s="23">
        <f>IF(AND(COUNT($E66),N(T$2)=N($E66)),$E66,IF(AND(COUNT($E66),N(T$2)&gt;=N($G$2),N(T$2)&lt;N($E66))," ",""))</f>
        <v/>
      </c>
      <c r="U66" s="23">
        <f>IF(AND(COUNT($E66),N(U$2)=N($E66)),$E66,IF(AND(COUNT($E66),N(U$2)&gt;=N($G$2),N(U$2)&lt;N($E66))," ",""))</f>
        <v/>
      </c>
      <c r="V66" s="23">
        <f>IF(AND(COUNT($E66),N(V$2)=N($E66)),$E66,IF(AND(COUNT($E66),N(V$2)&gt;=N($G$2),N(V$2)&lt;N($E66))," ",""))</f>
        <v/>
      </c>
      <c r="W66" s="23">
        <f>IF(AND(COUNT($E66),N(W$2)=N($E66)),$E66,IF(AND(COUNT($E66),N(W$2)&gt;=N($G$2),N(W$2)&lt;N($E66))," ",""))</f>
        <v/>
      </c>
      <c r="X66" s="23">
        <f>IF(AND(COUNT($E66),N(X$2)=N($E66)),$E66,IF(AND(COUNT($E66),N(X$2)&gt;=N($G$2),N(X$2)&lt;N($E66))," ",""))</f>
        <v/>
      </c>
      <c r="Y66" s="23">
        <f>IF(AND(COUNT($E66),N(Y$2)=N($E66)),$E66,IF(AND(COUNT($E66),N(Y$2)&gt;=N($G$2),N(Y$2)&lt;N($E66))," ",""))</f>
        <v/>
      </c>
      <c r="Z66" s="23">
        <f>IF(AND(COUNT($E66),N(Z$2)=N($E66)),$E66,IF(AND(COUNT($E66),N(Z$2)&gt;=N($G$2),N(Z$2)&lt;N($E66))," ",""))</f>
        <v/>
      </c>
      <c r="AA66" s="23">
        <f>IF(AND(COUNT($E66),N(AA$2)=N($E66)),$E66,IF(AND(COUNT($E66),N(AA$2)&gt;=N($G$2),N(AA$2)&lt;N($E66))," ",""))</f>
        <v/>
      </c>
      <c r="AB66" s="23">
        <f>IF(AND(COUNT($E66),N(AB$2)=N($E66)),$E66,IF(AND(COUNT($E66),N(AB$2)&gt;=N($G$2),N(AB$2)&lt;N($E66))," ",""))</f>
        <v/>
      </c>
      <c r="AC66" s="23">
        <f>IF(AND(COUNT($E66),N(AC$2)=N($E66)),$E66,IF(AND(COUNT($E66),N(AC$2)&gt;=N($G$2),N(AC$2)&lt;N($E66))," ",""))</f>
        <v/>
      </c>
      <c r="AD66" s="23">
        <f>IF(AND(COUNT($E66),N(AD$2)=N($E66)),$E66,IF(AND(COUNT($E66),N(AD$2)&gt;=N($G$2),N(AD$2)&lt;N($E66))," ",""))</f>
        <v/>
      </c>
      <c r="AE66" s="23">
        <f>IF(AND(COUNT($E66),N(AE$2)=N($E66)),$E66,IF(AND(COUNT($E66),N(AE$2)&gt;=N($G$2),N(AE$2)&lt;N($E66))," ",""))</f>
        <v/>
      </c>
      <c r="AF66" s="23">
        <f>IF(AND(COUNT($E66),N(AF$2)=N($E66)),$E66,IF(AND(COUNT($E66),N(AF$2)&gt;=N($G$2),N(AF$2)&lt;N($E66))," ",""))</f>
        <v/>
      </c>
      <c r="AG66" s="23">
        <f>IF(AND(COUNT($E66),N(AG$2)=N($E66)),$E66,IF(AND(COUNT($E66),N(AG$2)&gt;=N($G$2),N(AG$2)&lt;N($E66))," ",""))</f>
        <v/>
      </c>
      <c r="AH66" s="23">
        <f>IF(AND(COUNT($E66),N(AH$2)=N($E66)),$E66,IF(AND(COUNT($E66),N(AH$2)&gt;=N($G$2),N(AH$2)&lt;N($E66))," ",""))</f>
        <v/>
      </c>
      <c r="AI66" s="23">
        <f>IF(AND(COUNT($E66),N(AI$2)=N($E66)),$E66,IF(AND(COUNT($E66),N(AI$2)&gt;=N($G$2),N(AI$2)&lt;N($E66))," ",""))</f>
        <v/>
      </c>
      <c r="AJ66" s="23">
        <f>IF(AND(COUNT($E66),N(AJ$2)=N($E66)),$E66,IF(AND(COUNT($E66),N(AJ$2)&gt;=N($G$2),N(AJ$2)&lt;N($E66))," ",""))</f>
        <v/>
      </c>
      <c r="AK66" s="23">
        <f>IF(AND(COUNT($E66),N(AK$2)=N($E66)),$E66,IF(AND(COUNT($E66),N(AK$2)&gt;=N($G$2),N(AK$2)&lt;N($E66))," ",""))</f>
        <v/>
      </c>
      <c r="AL66" s="23">
        <f>IF(AND(COUNT($E66),N(AL$2)=N($E66)),$E66,IF(AND(COUNT($E66),N(AL$2)&gt;=N($G$2),N(AL$2)&lt;N($E66))," ",""))</f>
        <v/>
      </c>
      <c r="AM66" s="23">
        <f>IF(AND(COUNT($E66),N(AM$2)=N($E66)),$E66,IF(AND(COUNT($E66),N(AM$2)&gt;=N($G$2),N(AM$2)&lt;N($E66))," ",""))</f>
        <v/>
      </c>
      <c r="AN66" s="23">
        <f>IF(AND(COUNT($E66),N(AN$2)=N($E66)),$E66,IF(AND(COUNT($E66),N(AN$2)&gt;=N($G$2),N(AN$2)&lt;N($E66))," ",""))</f>
        <v/>
      </c>
      <c r="AO66" s="23">
        <f>IF(AND(COUNT($E66),N(AO$2)=N($E66)),$E66,IF(AND(COUNT($E66),N(AO$2)&gt;=N($G$2),N(AO$2)&lt;N($E66))," ",""))</f>
        <v/>
      </c>
      <c r="AP66" s="23">
        <f>IF(AND(COUNT($E66),N(AP$2)=N($E66)),$E66,IF(AND(COUNT($E66),N(AP$2)&gt;=N($G$2),N(AP$2)&lt;N($E66))," ",""))</f>
        <v/>
      </c>
      <c r="AQ66" s="23">
        <f>IF(AND(COUNT($E66),N(AQ$2)=N($E66)),$E66,IF(AND(COUNT($E66),N(AQ$2)&gt;=N($G$2),N(AQ$2)&lt;N($E66))," ",""))</f>
        <v/>
      </c>
      <c r="AR66" s="23">
        <f>IF(AND(COUNT($E66),N(AR$2)=N($E66)),$E66,IF(AND(COUNT($E66),N(AR$2)&gt;=N($G$2),N(AR$2)&lt;N($E66))," ",""))</f>
        <v/>
      </c>
      <c r="AS66" s="23">
        <f>IF(AND(COUNT($E66),N(AS$2)=N($E66)),$E66,IF(AND(COUNT($E66),N(AS$2)&gt;=N($G$2),N(AS$2)&lt;N($E66))," ",""))</f>
        <v/>
      </c>
      <c r="AT66" s="23">
        <f>IF(AND(COUNT($E66),N(AT$2)=N($E66)),$E66,IF(AND(COUNT($E66),N(AT$2)&gt;=N($G$2),N(AT$2)&lt;N($E66))," ",""))</f>
        <v/>
      </c>
      <c r="AU66" s="23">
        <f>IF(AND(COUNT($E66),N(AU$2)=N($E66)),$E66,IF(AND(COUNT($E66),N(AU$2)&gt;=N($G$2),N(AU$2)&lt;N($E66))," ",""))</f>
        <v/>
      </c>
      <c r="AV66" s="23">
        <f>IF(AND(COUNT($E66),N(AV$2)=N($E66)),$E66,IF(AND(COUNT($E66),N(AV$2)&gt;=N($G$2),N(AV$2)&lt;N($E66))," ",""))</f>
        <v/>
      </c>
      <c r="AW66" s="23">
        <f>IF(AND(COUNT($E66),N(AW$2)=N($E66)),$E66,IF(AND(COUNT($E66),N(AW$2)&gt;=N($G$2),N(AW$2)&lt;N($E66))," ",""))</f>
        <v/>
      </c>
      <c r="AX66" s="23">
        <f>IF(AND(COUNT($E66),N(AX$2)=N($E66)),$E66,IF(AND(COUNT($E66),N(AX$2)&gt;=N($G$2),N(AX$2)&lt;N($E66))," ",""))</f>
        <v/>
      </c>
      <c r="AY66" s="23">
        <f>IF(AND(COUNT($E66),N(AY$2)=N($E66)),$E66,IF(AND(COUNT($E66),N(AY$2)&gt;=N($G$2),N(AY$2)&lt;N($E66))," ",""))</f>
        <v/>
      </c>
      <c r="AZ66" s="23">
        <f>IF(AND(COUNT($E66),N(AZ$2)=N($E66)),$E66,IF(AND(COUNT($E66),N(AZ$2)&gt;=N($G$2),N(AZ$2)&lt;N($E66))," ",""))</f>
        <v/>
      </c>
      <c r="BA66" s="23">
        <f>IF(AND(COUNT($E66),N(BA$2)=N($E66)),$E66,IF(AND(COUNT($E66),N(BA$2)&gt;=N($G$2),N(BA$2)&lt;N($E66))," ",""))</f>
        <v/>
      </c>
      <c r="BB66" s="23">
        <f>IF(AND(COUNT($E66),N(BB$2)=N($E66)),$E66,IF(AND(COUNT($E66),N(BB$2)&gt;=N($G$2),N(BB$2)&lt;N($E66))," ",""))</f>
        <v/>
      </c>
      <c r="BC66" s="23">
        <f>IF(AND(COUNT($E66),N(BC$2)=N($E66)),$E66,IF(AND(COUNT($E66),N(BC$2)&gt;=N($G$2),N(BC$2)&lt;N($E66))," ",""))</f>
        <v/>
      </c>
      <c r="BD66" s="23">
        <f>IF(AND(COUNT($E66),N(BD$2)=N($E66)),$E66,IF(AND(COUNT($E66),N(BD$2)&gt;=N($G$2),N(BD$2)&lt;N($E66))," ",""))</f>
        <v/>
      </c>
      <c r="BE66" s="23">
        <f>IF(AND(COUNT($E66),N(BE$2)=N($E66)),$E66,IF(AND(COUNT($E66),N(BE$2)&gt;=N($G$2),N(BE$2)&lt;N($E66))," ",""))</f>
        <v/>
      </c>
      <c r="BF66" s="23">
        <f>IF(AND(COUNT($E66),N(BF$2)=N($E66)),$E66,IF(AND(COUNT($E66),N(BF$2)&gt;=N($G$2),N(BF$2)&lt;N($E66))," ",""))</f>
        <v/>
      </c>
      <c r="BG66" s="23">
        <f>IF(AND(COUNT($E66),N(BG$2)=N($E66)),$E66,IF(AND(COUNT($E66),N(BG$2)&gt;=N($G$2),N(BG$2)&lt;N($E66))," ",""))</f>
        <v/>
      </c>
      <c r="BH66" s="23">
        <f>IF(AND(COUNT($E66),N(BH$2)=N($E66)),$E66,IF(AND(COUNT($E66),N(BH$2)&gt;=N($G$2),N(BH$2)&lt;N($E66))," ",""))</f>
        <v/>
      </c>
      <c r="BI66" s="23">
        <f>IF(AND(COUNT($E66),N(BI$2)=N($E66)),$E66,IF(AND(COUNT($E66),N(BI$2)&gt;=N($G$2),N(BI$2)&lt;N($E66))," ",""))</f>
        <v/>
      </c>
      <c r="BJ66" s="23">
        <f>IF(AND(COUNT($E66),N(BJ$2)=N($E66)),$E66,IF(AND(COUNT($E66),N(BJ$2)&gt;=N($G$2),N(BJ$2)&lt;N($E66))," ",""))</f>
        <v/>
      </c>
      <c r="BK66" s="23">
        <f>IF(AND(COUNT($E66),N(BK$2)=N($E66)),$E66,IF(AND(COUNT($E66),N(BK$2)&gt;=N($G$2),N(BK$2)&lt;N($E66))," ",""))</f>
        <v/>
      </c>
      <c r="BL66" s="23">
        <f>IF(AND(COUNT($E66),N(BL$2)=N($E66)),$E66,IF(AND(COUNT($E66),N(BL$2)&gt;=N($G$2),N(BL$2)&lt;N($E66))," ",""))</f>
        <v/>
      </c>
      <c r="BM66" s="23">
        <f>IF(AND(COUNT($E66),N(BM$2)=N($E66)),$E66,IF(AND(COUNT($E66),N(BM$2)&gt;=N($G$2),N(BM$2)&lt;N($E66))," ",""))</f>
        <v/>
      </c>
      <c r="BN66" s="23">
        <f>IF(AND(COUNT($E66),N(BN$2)=N($E66)),$E66,IF(AND(COUNT($E66),N(BN$2)&gt;=N($G$2),N(BN$2)&lt;N($E66))," ",""))</f>
        <v/>
      </c>
      <c r="BO66" s="23">
        <f>IF(AND(COUNT($E66),N(BO$2)=N($E66)),$E66,IF(AND(COUNT($E66),N(BO$2)&gt;=N($G$2),N(BO$2)&lt;N($E66))," ",""))</f>
        <v/>
      </c>
      <c r="BP66" s="23">
        <f>IF(AND(COUNT($E66),N(BP$2)=N($E66)),$E66,IF(AND(COUNT($E66),N(BP$2)&gt;=N($G$2),N(BP$2)&lt;N($E66))," ",""))</f>
        <v/>
      </c>
      <c r="BQ66" s="23">
        <f>IF(AND(COUNT($E66),N(BQ$2)=N($E66)),$E66,IF(AND(COUNT($E66),N(BQ$2)&gt;=N($G$2),N(BQ$2)&lt;N($E66))," ",""))</f>
        <v/>
      </c>
      <c r="BR66" s="23">
        <f>IF(AND(COUNT($E66),N(BR$2)=N($E66)),$E66,IF(AND(COUNT($E66),N(BR$2)&gt;=N($G$2),N(BR$2)&lt;N($E66))," ",""))</f>
        <v/>
      </c>
      <c r="BS66" s="23">
        <f>IF(AND(COUNT($E66),N(BS$2)=N($E66)),$E66,IF(AND(COUNT($E66),N(BS$2)&gt;=N($G$2),N(BS$2)&lt;N($E66))," ",""))</f>
        <v/>
      </c>
    </row>
    <row r="67" ht="20" customHeight="1">
      <c r="A67" s="21" t="inlineStr">
        <is>
          <t>预估</t>
        </is>
      </c>
      <c r="B67" s="21" t="inlineStr">
        <is>
          <t>第二期</t>
        </is>
      </c>
      <c r="C67" s="22" t="inlineStr">
        <is>
          <t>PAB180·零件到位</t>
        </is>
      </c>
      <c r="D67" s="23">
        <f>'时间节点计划表'!E34</f>
        <v/>
      </c>
      <c r="E67" s="23">
        <f>IF(COUNT('时间节点计划表'!F34),'时间节点计划表'!F34,"")</f>
        <v/>
      </c>
      <c r="F67" s="24" t="inlineStr"/>
      <c r="G67" s="25">
        <f>D67</f>
        <v/>
      </c>
      <c r="H67" s="26" t="n"/>
      <c r="I67" s="26" t="n"/>
      <c r="J67" s="26" t="n"/>
      <c r="K67" s="26" t="n"/>
      <c r="L67" s="26" t="n"/>
      <c r="M67" s="26" t="n"/>
      <c r="N67" s="26" t="n"/>
      <c r="O67" s="26" t="n"/>
      <c r="P67" s="26" t="n"/>
      <c r="Q67" s="26" t="n"/>
      <c r="R67" s="26" t="n"/>
      <c r="S67" s="26" t="n"/>
      <c r="T67" s="26" t="n"/>
      <c r="U67" s="26" t="n"/>
      <c r="V67" s="26" t="n"/>
      <c r="W67" s="26" t="n"/>
      <c r="X67" s="26" t="n"/>
      <c r="Y67" s="26" t="n"/>
      <c r="Z67" s="26" t="n"/>
      <c r="AA67" s="26" t="n"/>
      <c r="AB67" s="26" t="n"/>
      <c r="AC67" s="26" t="n"/>
      <c r="AD67" s="26" t="n"/>
      <c r="AE67" s="26" t="n"/>
      <c r="AF67" s="26" t="n"/>
      <c r="AG67" s="26" t="n"/>
      <c r="AH67" s="26" t="n"/>
      <c r="AI67" s="26" t="n"/>
      <c r="AJ67" s="26" t="n"/>
      <c r="AK67" s="26" t="n"/>
      <c r="AL67" s="26" t="n"/>
      <c r="AM67" s="26" t="n"/>
      <c r="AN67" s="26" t="n"/>
      <c r="AO67" s="26" t="n"/>
      <c r="AP67" s="26" t="n"/>
      <c r="AQ67" s="26" t="n"/>
      <c r="AR67" s="26" t="n"/>
      <c r="AS67" s="26" t="n"/>
      <c r="AT67" s="26" t="n"/>
      <c r="AU67" s="26" t="n"/>
      <c r="AV67" s="26" t="n"/>
      <c r="AW67" s="26" t="n"/>
      <c r="AX67" s="26" t="n"/>
      <c r="AY67" s="26" t="n"/>
      <c r="AZ67" s="26" t="n"/>
      <c r="BA67" s="26" t="n"/>
      <c r="BB67" s="26" t="n"/>
      <c r="BC67" s="26" t="n"/>
      <c r="BD67" s="26" t="n"/>
      <c r="BE67" s="26" t="n"/>
      <c r="BF67" s="26" t="n"/>
      <c r="BG67" s="26" t="n"/>
      <c r="BH67" s="26" t="n"/>
      <c r="BI67" s="26" t="n"/>
      <c r="BJ67" s="26" t="n"/>
      <c r="BK67" s="27" t="n"/>
      <c r="BL67" s="28" t="n"/>
      <c r="BM67" s="28" t="n"/>
      <c r="BN67" s="28" t="n"/>
      <c r="BO67" s="28" t="n"/>
      <c r="BP67" s="28" t="n"/>
      <c r="BQ67" s="28" t="n"/>
      <c r="BR67" s="28" t="n"/>
      <c r="BS67" s="28" t="n"/>
    </row>
    <row r="68" ht="20" customHeight="1">
      <c r="A68" s="29" t="inlineStr">
        <is>
          <t>实际</t>
        </is>
      </c>
      <c r="B68" s="29" t="inlineStr">
        <is>
          <t>第二期</t>
        </is>
      </c>
      <c r="C68" s="30" t="inlineStr">
        <is>
          <t>PAB180·零件到位</t>
        </is>
      </c>
      <c r="D68" s="31">
        <f>'时间节点计划表'!E34</f>
        <v/>
      </c>
      <c r="E68" s="31">
        <f>IF(COUNT('时间节点计划表'!F34),'时间节点计划表'!F34,"")</f>
        <v/>
      </c>
      <c r="F68" s="32">
        <f>IF(OR(D68="",E68=""),"待填",E68-D68)</f>
        <v/>
      </c>
      <c r="G68" s="23">
        <f>IF(AND(COUNT($E68),N(G$2)=N($E68)),$E68,IF(AND(COUNT($E68),N(G$2)&gt;=N($G$2),N(G$2)&lt;N($E68))," ",""))</f>
        <v/>
      </c>
      <c r="H68" s="23">
        <f>IF(AND(COUNT($E68),N(H$2)=N($E68)),$E68,IF(AND(COUNT($E68),N(H$2)&gt;=N($G$2),N(H$2)&lt;N($E68))," ",""))</f>
        <v/>
      </c>
      <c r="I68" s="23">
        <f>IF(AND(COUNT($E68),N(I$2)=N($E68)),$E68,IF(AND(COUNT($E68),N(I$2)&gt;=N($G$2),N(I$2)&lt;N($E68))," ",""))</f>
        <v/>
      </c>
      <c r="J68" s="23">
        <f>IF(AND(COUNT($E68),N(J$2)=N($E68)),$E68,IF(AND(COUNT($E68),N(J$2)&gt;=N($G$2),N(J$2)&lt;N($E68))," ",""))</f>
        <v/>
      </c>
      <c r="K68" s="23">
        <f>IF(AND(COUNT($E68),N(K$2)=N($E68)),$E68,IF(AND(COUNT($E68),N(K$2)&gt;=N($G$2),N(K$2)&lt;N($E68))," ",""))</f>
        <v/>
      </c>
      <c r="L68" s="23">
        <f>IF(AND(COUNT($E68),N(L$2)=N($E68)),$E68,IF(AND(COUNT($E68),N(L$2)&gt;=N($G$2),N(L$2)&lt;N($E68))," ",""))</f>
        <v/>
      </c>
      <c r="M68" s="23">
        <f>IF(AND(COUNT($E68),N(M$2)=N($E68)),$E68,IF(AND(COUNT($E68),N(M$2)&gt;=N($G$2),N(M$2)&lt;N($E68))," ",""))</f>
        <v/>
      </c>
      <c r="N68" s="23">
        <f>IF(AND(COUNT($E68),N(N$2)=N($E68)),$E68,IF(AND(COUNT($E68),N(N$2)&gt;=N($G$2),N(N$2)&lt;N($E68))," ",""))</f>
        <v/>
      </c>
      <c r="O68" s="23">
        <f>IF(AND(COUNT($E68),N(O$2)=N($E68)),$E68,IF(AND(COUNT($E68),N(O$2)&gt;=N($G$2),N(O$2)&lt;N($E68))," ",""))</f>
        <v/>
      </c>
      <c r="P68" s="23">
        <f>IF(AND(COUNT($E68),N(P$2)=N($E68)),$E68,IF(AND(COUNT($E68),N(P$2)&gt;=N($G$2),N(P$2)&lt;N($E68))," ",""))</f>
        <v/>
      </c>
      <c r="Q68" s="23">
        <f>IF(AND(COUNT($E68),N(Q$2)=N($E68)),$E68,IF(AND(COUNT($E68),N(Q$2)&gt;=N($G$2),N(Q$2)&lt;N($E68))," ",""))</f>
        <v/>
      </c>
      <c r="R68" s="23">
        <f>IF(AND(COUNT($E68),N(R$2)=N($E68)),$E68,IF(AND(COUNT($E68),N(R$2)&gt;=N($G$2),N(R$2)&lt;N($E68))," ",""))</f>
        <v/>
      </c>
      <c r="S68" s="23">
        <f>IF(AND(COUNT($E68),N(S$2)=N($E68)),$E68,IF(AND(COUNT($E68),N(S$2)&gt;=N($G$2),N(S$2)&lt;N($E68))," ",""))</f>
        <v/>
      </c>
      <c r="T68" s="23">
        <f>IF(AND(COUNT($E68),N(T$2)=N($E68)),$E68,IF(AND(COUNT($E68),N(T$2)&gt;=N($G$2),N(T$2)&lt;N($E68))," ",""))</f>
        <v/>
      </c>
      <c r="U68" s="23">
        <f>IF(AND(COUNT($E68),N(U$2)=N($E68)),$E68,IF(AND(COUNT($E68),N(U$2)&gt;=N($G$2),N(U$2)&lt;N($E68))," ",""))</f>
        <v/>
      </c>
      <c r="V68" s="23">
        <f>IF(AND(COUNT($E68),N(V$2)=N($E68)),$E68,IF(AND(COUNT($E68),N(V$2)&gt;=N($G$2),N(V$2)&lt;N($E68))," ",""))</f>
        <v/>
      </c>
      <c r="W68" s="23">
        <f>IF(AND(COUNT($E68),N(W$2)=N($E68)),$E68,IF(AND(COUNT($E68),N(W$2)&gt;=N($G$2),N(W$2)&lt;N($E68))," ",""))</f>
        <v/>
      </c>
      <c r="X68" s="23">
        <f>IF(AND(COUNT($E68),N(X$2)=N($E68)),$E68,IF(AND(COUNT($E68),N(X$2)&gt;=N($G$2),N(X$2)&lt;N($E68))," ",""))</f>
        <v/>
      </c>
      <c r="Y68" s="23">
        <f>IF(AND(COUNT($E68),N(Y$2)=N($E68)),$E68,IF(AND(COUNT($E68),N(Y$2)&gt;=N($G$2),N(Y$2)&lt;N($E68))," ",""))</f>
        <v/>
      </c>
      <c r="Z68" s="23">
        <f>IF(AND(COUNT($E68),N(Z$2)=N($E68)),$E68,IF(AND(COUNT($E68),N(Z$2)&gt;=N($G$2),N(Z$2)&lt;N($E68))," ",""))</f>
        <v/>
      </c>
      <c r="AA68" s="23">
        <f>IF(AND(COUNT($E68),N(AA$2)=N($E68)),$E68,IF(AND(COUNT($E68),N(AA$2)&gt;=N($G$2),N(AA$2)&lt;N($E68))," ",""))</f>
        <v/>
      </c>
      <c r="AB68" s="23">
        <f>IF(AND(COUNT($E68),N(AB$2)=N($E68)),$E68,IF(AND(COUNT($E68),N(AB$2)&gt;=N($G$2),N(AB$2)&lt;N($E68))," ",""))</f>
        <v/>
      </c>
      <c r="AC68" s="23">
        <f>IF(AND(COUNT($E68),N(AC$2)=N($E68)),$E68,IF(AND(COUNT($E68),N(AC$2)&gt;=N($G$2),N(AC$2)&lt;N($E68))," ",""))</f>
        <v/>
      </c>
      <c r="AD68" s="23">
        <f>IF(AND(COUNT($E68),N(AD$2)=N($E68)),$E68,IF(AND(COUNT($E68),N(AD$2)&gt;=N($G$2),N(AD$2)&lt;N($E68))," ",""))</f>
        <v/>
      </c>
      <c r="AE68" s="23">
        <f>IF(AND(COUNT($E68),N(AE$2)=N($E68)),$E68,IF(AND(COUNT($E68),N(AE$2)&gt;=N($G$2),N(AE$2)&lt;N($E68))," ",""))</f>
        <v/>
      </c>
      <c r="AF68" s="23">
        <f>IF(AND(COUNT($E68),N(AF$2)=N($E68)),$E68,IF(AND(COUNT($E68),N(AF$2)&gt;=N($G$2),N(AF$2)&lt;N($E68))," ",""))</f>
        <v/>
      </c>
      <c r="AG68" s="23">
        <f>IF(AND(COUNT($E68),N(AG$2)=N($E68)),$E68,IF(AND(COUNT($E68),N(AG$2)&gt;=N($G$2),N(AG$2)&lt;N($E68))," ",""))</f>
        <v/>
      </c>
      <c r="AH68" s="23">
        <f>IF(AND(COUNT($E68),N(AH$2)=N($E68)),$E68,IF(AND(COUNT($E68),N(AH$2)&gt;=N($G$2),N(AH$2)&lt;N($E68))," ",""))</f>
        <v/>
      </c>
      <c r="AI68" s="23">
        <f>IF(AND(COUNT($E68),N(AI$2)=N($E68)),$E68,IF(AND(COUNT($E68),N(AI$2)&gt;=N($G$2),N(AI$2)&lt;N($E68))," ",""))</f>
        <v/>
      </c>
      <c r="AJ68" s="23">
        <f>IF(AND(COUNT($E68),N(AJ$2)=N($E68)),$E68,IF(AND(COUNT($E68),N(AJ$2)&gt;=N($G$2),N(AJ$2)&lt;N($E68))," ",""))</f>
        <v/>
      </c>
      <c r="AK68" s="23">
        <f>IF(AND(COUNT($E68),N(AK$2)=N($E68)),$E68,IF(AND(COUNT($E68),N(AK$2)&gt;=N($G$2),N(AK$2)&lt;N($E68))," ",""))</f>
        <v/>
      </c>
      <c r="AL68" s="23">
        <f>IF(AND(COUNT($E68),N(AL$2)=N($E68)),$E68,IF(AND(COUNT($E68),N(AL$2)&gt;=N($G$2),N(AL$2)&lt;N($E68))," ",""))</f>
        <v/>
      </c>
      <c r="AM68" s="23">
        <f>IF(AND(COUNT($E68),N(AM$2)=N($E68)),$E68,IF(AND(COUNT($E68),N(AM$2)&gt;=N($G$2),N(AM$2)&lt;N($E68))," ",""))</f>
        <v/>
      </c>
      <c r="AN68" s="23">
        <f>IF(AND(COUNT($E68),N(AN$2)=N($E68)),$E68,IF(AND(COUNT($E68),N(AN$2)&gt;=N($G$2),N(AN$2)&lt;N($E68))," ",""))</f>
        <v/>
      </c>
      <c r="AO68" s="23">
        <f>IF(AND(COUNT($E68),N(AO$2)=N($E68)),$E68,IF(AND(COUNT($E68),N(AO$2)&gt;=N($G$2),N(AO$2)&lt;N($E68))," ",""))</f>
        <v/>
      </c>
      <c r="AP68" s="23">
        <f>IF(AND(COUNT($E68),N(AP$2)=N($E68)),$E68,IF(AND(COUNT($E68),N(AP$2)&gt;=N($G$2),N(AP$2)&lt;N($E68))," ",""))</f>
        <v/>
      </c>
      <c r="AQ68" s="23">
        <f>IF(AND(COUNT($E68),N(AQ$2)=N($E68)),$E68,IF(AND(COUNT($E68),N(AQ$2)&gt;=N($G$2),N(AQ$2)&lt;N($E68))," ",""))</f>
        <v/>
      </c>
      <c r="AR68" s="23">
        <f>IF(AND(COUNT($E68),N(AR$2)=N($E68)),$E68,IF(AND(COUNT($E68),N(AR$2)&gt;=N($G$2),N(AR$2)&lt;N($E68))," ",""))</f>
        <v/>
      </c>
      <c r="AS68" s="23">
        <f>IF(AND(COUNT($E68),N(AS$2)=N($E68)),$E68,IF(AND(COUNT($E68),N(AS$2)&gt;=N($G$2),N(AS$2)&lt;N($E68))," ",""))</f>
        <v/>
      </c>
      <c r="AT68" s="23">
        <f>IF(AND(COUNT($E68),N(AT$2)=N($E68)),$E68,IF(AND(COUNT($E68),N(AT$2)&gt;=N($G$2),N(AT$2)&lt;N($E68))," ",""))</f>
        <v/>
      </c>
      <c r="AU68" s="23">
        <f>IF(AND(COUNT($E68),N(AU$2)=N($E68)),$E68,IF(AND(COUNT($E68),N(AU$2)&gt;=N($G$2),N(AU$2)&lt;N($E68))," ",""))</f>
        <v/>
      </c>
      <c r="AV68" s="23">
        <f>IF(AND(COUNT($E68),N(AV$2)=N($E68)),$E68,IF(AND(COUNT($E68),N(AV$2)&gt;=N($G$2),N(AV$2)&lt;N($E68))," ",""))</f>
        <v/>
      </c>
      <c r="AW68" s="23">
        <f>IF(AND(COUNT($E68),N(AW$2)=N($E68)),$E68,IF(AND(COUNT($E68),N(AW$2)&gt;=N($G$2),N(AW$2)&lt;N($E68))," ",""))</f>
        <v/>
      </c>
      <c r="AX68" s="23">
        <f>IF(AND(COUNT($E68),N(AX$2)=N($E68)),$E68,IF(AND(COUNT($E68),N(AX$2)&gt;=N($G$2),N(AX$2)&lt;N($E68))," ",""))</f>
        <v/>
      </c>
      <c r="AY68" s="23">
        <f>IF(AND(COUNT($E68),N(AY$2)=N($E68)),$E68,IF(AND(COUNT($E68),N(AY$2)&gt;=N($G$2),N(AY$2)&lt;N($E68))," ",""))</f>
        <v/>
      </c>
      <c r="AZ68" s="23">
        <f>IF(AND(COUNT($E68),N(AZ$2)=N($E68)),$E68,IF(AND(COUNT($E68),N(AZ$2)&gt;=N($G$2),N(AZ$2)&lt;N($E68))," ",""))</f>
        <v/>
      </c>
      <c r="BA68" s="23">
        <f>IF(AND(COUNT($E68),N(BA$2)=N($E68)),$E68,IF(AND(COUNT($E68),N(BA$2)&gt;=N($G$2),N(BA$2)&lt;N($E68))," ",""))</f>
        <v/>
      </c>
      <c r="BB68" s="23">
        <f>IF(AND(COUNT($E68),N(BB$2)=N($E68)),$E68,IF(AND(COUNT($E68),N(BB$2)&gt;=N($G$2),N(BB$2)&lt;N($E68))," ",""))</f>
        <v/>
      </c>
      <c r="BC68" s="23">
        <f>IF(AND(COUNT($E68),N(BC$2)=N($E68)),$E68,IF(AND(COUNT($E68),N(BC$2)&gt;=N($G$2),N(BC$2)&lt;N($E68))," ",""))</f>
        <v/>
      </c>
      <c r="BD68" s="23">
        <f>IF(AND(COUNT($E68),N(BD$2)=N($E68)),$E68,IF(AND(COUNT($E68),N(BD$2)&gt;=N($G$2),N(BD$2)&lt;N($E68))," ",""))</f>
        <v/>
      </c>
      <c r="BE68" s="23">
        <f>IF(AND(COUNT($E68),N(BE$2)=N($E68)),$E68,IF(AND(COUNT($E68),N(BE$2)&gt;=N($G$2),N(BE$2)&lt;N($E68))," ",""))</f>
        <v/>
      </c>
      <c r="BF68" s="23">
        <f>IF(AND(COUNT($E68),N(BF$2)=N($E68)),$E68,IF(AND(COUNT($E68),N(BF$2)&gt;=N($G$2),N(BF$2)&lt;N($E68))," ",""))</f>
        <v/>
      </c>
      <c r="BG68" s="23">
        <f>IF(AND(COUNT($E68),N(BG$2)=N($E68)),$E68,IF(AND(COUNT($E68),N(BG$2)&gt;=N($G$2),N(BG$2)&lt;N($E68))," ",""))</f>
        <v/>
      </c>
      <c r="BH68" s="23">
        <f>IF(AND(COUNT($E68),N(BH$2)=N($E68)),$E68,IF(AND(COUNT($E68),N(BH$2)&gt;=N($G$2),N(BH$2)&lt;N($E68))," ",""))</f>
        <v/>
      </c>
      <c r="BI68" s="23">
        <f>IF(AND(COUNT($E68),N(BI$2)=N($E68)),$E68,IF(AND(COUNT($E68),N(BI$2)&gt;=N($G$2),N(BI$2)&lt;N($E68))," ",""))</f>
        <v/>
      </c>
      <c r="BJ68" s="23">
        <f>IF(AND(COUNT($E68),N(BJ$2)=N($E68)),$E68,IF(AND(COUNT($E68),N(BJ$2)&gt;=N($G$2),N(BJ$2)&lt;N($E68))," ",""))</f>
        <v/>
      </c>
      <c r="BK68" s="23">
        <f>IF(AND(COUNT($E68),N(BK$2)=N($E68)),$E68,IF(AND(COUNT($E68),N(BK$2)&gt;=N($G$2),N(BK$2)&lt;N($E68))," ",""))</f>
        <v/>
      </c>
      <c r="BL68" s="23">
        <f>IF(AND(COUNT($E68),N(BL$2)=N($E68)),$E68,IF(AND(COUNT($E68),N(BL$2)&gt;=N($G$2),N(BL$2)&lt;N($E68))," ",""))</f>
        <v/>
      </c>
      <c r="BM68" s="23">
        <f>IF(AND(COUNT($E68),N(BM$2)=N($E68)),$E68,IF(AND(COUNT($E68),N(BM$2)&gt;=N($G$2),N(BM$2)&lt;N($E68))," ",""))</f>
        <v/>
      </c>
      <c r="BN68" s="23">
        <f>IF(AND(COUNT($E68),N(BN$2)=N($E68)),$E68,IF(AND(COUNT($E68),N(BN$2)&gt;=N($G$2),N(BN$2)&lt;N($E68))," ",""))</f>
        <v/>
      </c>
      <c r="BO68" s="23">
        <f>IF(AND(COUNT($E68),N(BO$2)=N($E68)),$E68,IF(AND(COUNT($E68),N(BO$2)&gt;=N($G$2),N(BO$2)&lt;N($E68))," ",""))</f>
        <v/>
      </c>
      <c r="BP68" s="23">
        <f>IF(AND(COUNT($E68),N(BP$2)=N($E68)),$E68,IF(AND(COUNT($E68),N(BP$2)&gt;=N($G$2),N(BP$2)&lt;N($E68))," ",""))</f>
        <v/>
      </c>
      <c r="BQ68" s="23">
        <f>IF(AND(COUNT($E68),N(BQ$2)=N($E68)),$E68,IF(AND(COUNT($E68),N(BQ$2)&gt;=N($G$2),N(BQ$2)&lt;N($E68))," ",""))</f>
        <v/>
      </c>
      <c r="BR68" s="23">
        <f>IF(AND(COUNT($E68),N(BR$2)=N($E68)),$E68,IF(AND(COUNT($E68),N(BR$2)&gt;=N($G$2),N(BR$2)&lt;N($E68))," ",""))</f>
        <v/>
      </c>
      <c r="BS68" s="23">
        <f>IF(AND(COUNT($E68),N(BS$2)=N($E68)),$E68,IF(AND(COUNT($E68),N(BS$2)&gt;=N($G$2),N(BS$2)&lt;N($E68))," ",""))</f>
        <v/>
      </c>
    </row>
    <row r="69" ht="20" customHeight="1">
      <c r="A69" s="21" t="inlineStr">
        <is>
          <t>预估</t>
        </is>
      </c>
      <c r="B69" s="21" t="inlineStr">
        <is>
          <t>第二期</t>
        </is>
      </c>
      <c r="C69" s="22" t="inlineStr">
        <is>
          <t>PAB180·工装图纸绘制</t>
        </is>
      </c>
      <c r="D69" s="23">
        <f>'时间节点计划表'!E35</f>
        <v/>
      </c>
      <c r="E69" s="23">
        <f>IF(COUNT('时间节点计划表'!F35),'时间节点计划表'!F35,"")</f>
        <v/>
      </c>
      <c r="F69" s="24" t="inlineStr"/>
      <c r="G69" s="25">
        <f>D69</f>
        <v/>
      </c>
      <c r="H69" s="26" t="n"/>
      <c r="I69" s="26" t="n"/>
      <c r="J69" s="26" t="n"/>
      <c r="K69" s="26" t="n"/>
      <c r="L69" s="26" t="n"/>
      <c r="M69" s="26" t="n"/>
      <c r="N69" s="26" t="n"/>
      <c r="O69" s="26" t="n"/>
      <c r="P69" s="26" t="n"/>
      <c r="Q69" s="26" t="n"/>
      <c r="R69" s="26" t="n"/>
      <c r="S69" s="26" t="n"/>
      <c r="T69" s="26" t="n"/>
      <c r="U69" s="26" t="n"/>
      <c r="V69" s="26" t="n"/>
      <c r="W69" s="26" t="n"/>
      <c r="X69" s="26" t="n"/>
      <c r="Y69" s="26" t="n"/>
      <c r="Z69" s="26" t="n"/>
      <c r="AA69" s="26" t="n"/>
      <c r="AB69" s="26" t="n"/>
      <c r="AC69" s="27" t="n"/>
      <c r="AD69" s="28" t="n"/>
      <c r="AE69" s="28" t="n"/>
      <c r="AF69" s="28" t="n"/>
      <c r="AG69" s="28" t="n"/>
      <c r="AH69" s="28" t="n"/>
      <c r="AI69" s="28" t="n"/>
      <c r="AJ69" s="28" t="n"/>
      <c r="AK69" s="28" t="n"/>
      <c r="AL69" s="28" t="n"/>
      <c r="AM69" s="28" t="n"/>
      <c r="AN69" s="28" t="n"/>
      <c r="AO69" s="28" t="n"/>
      <c r="AP69" s="28" t="n"/>
      <c r="AQ69" s="28" t="n"/>
      <c r="AR69" s="28" t="n"/>
      <c r="AS69" s="28" t="n"/>
      <c r="AT69" s="28" t="n"/>
      <c r="AU69" s="28" t="n"/>
      <c r="AV69" s="28" t="n"/>
      <c r="AW69" s="28" t="n"/>
      <c r="AX69" s="28" t="n"/>
      <c r="AY69" s="28" t="n"/>
      <c r="AZ69" s="28" t="n"/>
      <c r="BA69" s="28" t="n"/>
      <c r="BB69" s="28" t="n"/>
      <c r="BC69" s="28" t="n"/>
      <c r="BD69" s="28" t="n"/>
      <c r="BE69" s="28" t="n"/>
      <c r="BF69" s="28" t="n"/>
      <c r="BG69" s="28" t="n"/>
      <c r="BH69" s="28" t="n"/>
      <c r="BI69" s="28" t="n"/>
      <c r="BJ69" s="28" t="n"/>
      <c r="BK69" s="28" t="n"/>
      <c r="BL69" s="28" t="n"/>
      <c r="BM69" s="28" t="n"/>
      <c r="BN69" s="28" t="n"/>
      <c r="BO69" s="28" t="n"/>
      <c r="BP69" s="28" t="n"/>
      <c r="BQ69" s="28" t="n"/>
      <c r="BR69" s="28" t="n"/>
      <c r="BS69" s="28" t="n"/>
    </row>
    <row r="70" ht="20" customHeight="1">
      <c r="A70" s="29" t="inlineStr">
        <is>
          <t>实际</t>
        </is>
      </c>
      <c r="B70" s="29" t="inlineStr">
        <is>
          <t>第二期</t>
        </is>
      </c>
      <c r="C70" s="30" t="inlineStr">
        <is>
          <t>PAB180·工装图纸绘制</t>
        </is>
      </c>
      <c r="D70" s="31">
        <f>'时间节点计划表'!E35</f>
        <v/>
      </c>
      <c r="E70" s="31">
        <f>IF(COUNT('时间节点计划表'!F35),'时间节点计划表'!F35,"")</f>
        <v/>
      </c>
      <c r="F70" s="32">
        <f>IF(OR(D70="",E70=""),"待填",E70-D70)</f>
        <v/>
      </c>
      <c r="G70" s="23">
        <f>IF(AND(COUNT($E70),N(G$2)=N($E70)),$E70,IF(AND(COUNT($E70),N(G$2)&gt;=N($G$2),N(G$2)&lt;N($E70))," ",""))</f>
        <v/>
      </c>
      <c r="H70" s="23">
        <f>IF(AND(COUNT($E70),N(H$2)=N($E70)),$E70,IF(AND(COUNT($E70),N(H$2)&gt;=N($G$2),N(H$2)&lt;N($E70))," ",""))</f>
        <v/>
      </c>
      <c r="I70" s="23">
        <f>IF(AND(COUNT($E70),N(I$2)=N($E70)),$E70,IF(AND(COUNT($E70),N(I$2)&gt;=N($G$2),N(I$2)&lt;N($E70))," ",""))</f>
        <v/>
      </c>
      <c r="J70" s="23">
        <f>IF(AND(COUNT($E70),N(J$2)=N($E70)),$E70,IF(AND(COUNT($E70),N(J$2)&gt;=N($G$2),N(J$2)&lt;N($E70))," ",""))</f>
        <v/>
      </c>
      <c r="K70" s="23">
        <f>IF(AND(COUNT($E70),N(K$2)=N($E70)),$E70,IF(AND(COUNT($E70),N(K$2)&gt;=N($G$2),N(K$2)&lt;N($E70))," ",""))</f>
        <v/>
      </c>
      <c r="L70" s="23">
        <f>IF(AND(COUNT($E70),N(L$2)=N($E70)),$E70,IF(AND(COUNT($E70),N(L$2)&gt;=N($G$2),N(L$2)&lt;N($E70))," ",""))</f>
        <v/>
      </c>
      <c r="M70" s="23">
        <f>IF(AND(COUNT($E70),N(M$2)=N($E70)),$E70,IF(AND(COUNT($E70),N(M$2)&gt;=N($G$2),N(M$2)&lt;N($E70))," ",""))</f>
        <v/>
      </c>
      <c r="N70" s="23">
        <f>IF(AND(COUNT($E70),N(N$2)=N($E70)),$E70,IF(AND(COUNT($E70),N(N$2)&gt;=N($G$2),N(N$2)&lt;N($E70))," ",""))</f>
        <v/>
      </c>
      <c r="O70" s="23">
        <f>IF(AND(COUNT($E70),N(O$2)=N($E70)),$E70,IF(AND(COUNT($E70),N(O$2)&gt;=N($G$2),N(O$2)&lt;N($E70))," ",""))</f>
        <v/>
      </c>
      <c r="P70" s="23">
        <f>IF(AND(COUNT($E70),N(P$2)=N($E70)),$E70,IF(AND(COUNT($E70),N(P$2)&gt;=N($G$2),N(P$2)&lt;N($E70))," ",""))</f>
        <v/>
      </c>
      <c r="Q70" s="23">
        <f>IF(AND(COUNT($E70),N(Q$2)=N($E70)),$E70,IF(AND(COUNT($E70),N(Q$2)&gt;=N($G$2),N(Q$2)&lt;N($E70))," ",""))</f>
        <v/>
      </c>
      <c r="R70" s="23">
        <f>IF(AND(COUNT($E70),N(R$2)=N($E70)),$E70,IF(AND(COUNT($E70),N(R$2)&gt;=N($G$2),N(R$2)&lt;N($E70))," ",""))</f>
        <v/>
      </c>
      <c r="S70" s="23">
        <f>IF(AND(COUNT($E70),N(S$2)=N($E70)),$E70,IF(AND(COUNT($E70),N(S$2)&gt;=N($G$2),N(S$2)&lt;N($E70))," ",""))</f>
        <v/>
      </c>
      <c r="T70" s="23">
        <f>IF(AND(COUNT($E70),N(T$2)=N($E70)),$E70,IF(AND(COUNT($E70),N(T$2)&gt;=N($G$2),N(T$2)&lt;N($E70))," ",""))</f>
        <v/>
      </c>
      <c r="U70" s="23">
        <f>IF(AND(COUNT($E70),N(U$2)=N($E70)),$E70,IF(AND(COUNT($E70),N(U$2)&gt;=N($G$2),N(U$2)&lt;N($E70))," ",""))</f>
        <v/>
      </c>
      <c r="V70" s="23">
        <f>IF(AND(COUNT($E70),N(V$2)=N($E70)),$E70,IF(AND(COUNT($E70),N(V$2)&gt;=N($G$2),N(V$2)&lt;N($E70))," ",""))</f>
        <v/>
      </c>
      <c r="W70" s="23">
        <f>IF(AND(COUNT($E70),N(W$2)=N($E70)),$E70,IF(AND(COUNT($E70),N(W$2)&gt;=N($G$2),N(W$2)&lt;N($E70))," ",""))</f>
        <v/>
      </c>
      <c r="X70" s="23">
        <f>IF(AND(COUNT($E70),N(X$2)=N($E70)),$E70,IF(AND(COUNT($E70),N(X$2)&gt;=N($G$2),N(X$2)&lt;N($E70))," ",""))</f>
        <v/>
      </c>
      <c r="Y70" s="23">
        <f>IF(AND(COUNT($E70),N(Y$2)=N($E70)),$E70,IF(AND(COUNT($E70),N(Y$2)&gt;=N($G$2),N(Y$2)&lt;N($E70))," ",""))</f>
        <v/>
      </c>
      <c r="Z70" s="23">
        <f>IF(AND(COUNT($E70),N(Z$2)=N($E70)),$E70,IF(AND(COUNT($E70),N(Z$2)&gt;=N($G$2),N(Z$2)&lt;N($E70))," ",""))</f>
        <v/>
      </c>
      <c r="AA70" s="23">
        <f>IF(AND(COUNT($E70),N(AA$2)=N($E70)),$E70,IF(AND(COUNT($E70),N(AA$2)&gt;=N($G$2),N(AA$2)&lt;N($E70))," ",""))</f>
        <v/>
      </c>
      <c r="AB70" s="23">
        <f>IF(AND(COUNT($E70),N(AB$2)=N($E70)),$E70,IF(AND(COUNT($E70),N(AB$2)&gt;=N($G$2),N(AB$2)&lt;N($E70))," ",""))</f>
        <v/>
      </c>
      <c r="AC70" s="23">
        <f>IF(AND(COUNT($E70),N(AC$2)=N($E70)),$E70,IF(AND(COUNT($E70),N(AC$2)&gt;=N($G$2),N(AC$2)&lt;N($E70))," ",""))</f>
        <v/>
      </c>
      <c r="AD70" s="23">
        <f>IF(AND(COUNT($E70),N(AD$2)=N($E70)),$E70,IF(AND(COUNT($E70),N(AD$2)&gt;=N($G$2),N(AD$2)&lt;N($E70))," ",""))</f>
        <v/>
      </c>
      <c r="AE70" s="23">
        <f>IF(AND(COUNT($E70),N(AE$2)=N($E70)),$E70,IF(AND(COUNT($E70),N(AE$2)&gt;=N($G$2),N(AE$2)&lt;N($E70))," ",""))</f>
        <v/>
      </c>
      <c r="AF70" s="23">
        <f>IF(AND(COUNT($E70),N(AF$2)=N($E70)),$E70,IF(AND(COUNT($E70),N(AF$2)&gt;=N($G$2),N(AF$2)&lt;N($E70))," ",""))</f>
        <v/>
      </c>
      <c r="AG70" s="23">
        <f>IF(AND(COUNT($E70),N(AG$2)=N($E70)),$E70,IF(AND(COUNT($E70),N(AG$2)&gt;=N($G$2),N(AG$2)&lt;N($E70))," ",""))</f>
        <v/>
      </c>
      <c r="AH70" s="23">
        <f>IF(AND(COUNT($E70),N(AH$2)=N($E70)),$E70,IF(AND(COUNT($E70),N(AH$2)&gt;=N($G$2),N(AH$2)&lt;N($E70))," ",""))</f>
        <v/>
      </c>
      <c r="AI70" s="23">
        <f>IF(AND(COUNT($E70),N(AI$2)=N($E70)),$E70,IF(AND(COUNT($E70),N(AI$2)&gt;=N($G$2),N(AI$2)&lt;N($E70))," ",""))</f>
        <v/>
      </c>
      <c r="AJ70" s="23">
        <f>IF(AND(COUNT($E70),N(AJ$2)=N($E70)),$E70,IF(AND(COUNT($E70),N(AJ$2)&gt;=N($G$2),N(AJ$2)&lt;N($E70))," ",""))</f>
        <v/>
      </c>
      <c r="AK70" s="23">
        <f>IF(AND(COUNT($E70),N(AK$2)=N($E70)),$E70,IF(AND(COUNT($E70),N(AK$2)&gt;=N($G$2),N(AK$2)&lt;N($E70))," ",""))</f>
        <v/>
      </c>
      <c r="AL70" s="23">
        <f>IF(AND(COUNT($E70),N(AL$2)=N($E70)),$E70,IF(AND(COUNT($E70),N(AL$2)&gt;=N($G$2),N(AL$2)&lt;N($E70))," ",""))</f>
        <v/>
      </c>
      <c r="AM70" s="23">
        <f>IF(AND(COUNT($E70),N(AM$2)=N($E70)),$E70,IF(AND(COUNT($E70),N(AM$2)&gt;=N($G$2),N(AM$2)&lt;N($E70))," ",""))</f>
        <v/>
      </c>
      <c r="AN70" s="23">
        <f>IF(AND(COUNT($E70),N(AN$2)=N($E70)),$E70,IF(AND(COUNT($E70),N(AN$2)&gt;=N($G$2),N(AN$2)&lt;N($E70))," ",""))</f>
        <v/>
      </c>
      <c r="AO70" s="23">
        <f>IF(AND(COUNT($E70),N(AO$2)=N($E70)),$E70,IF(AND(COUNT($E70),N(AO$2)&gt;=N($G$2),N(AO$2)&lt;N($E70))," ",""))</f>
        <v/>
      </c>
      <c r="AP70" s="23">
        <f>IF(AND(COUNT($E70),N(AP$2)=N($E70)),$E70,IF(AND(COUNT($E70),N(AP$2)&gt;=N($G$2),N(AP$2)&lt;N($E70))," ",""))</f>
        <v/>
      </c>
      <c r="AQ70" s="23">
        <f>IF(AND(COUNT($E70),N(AQ$2)=N($E70)),$E70,IF(AND(COUNT($E70),N(AQ$2)&gt;=N($G$2),N(AQ$2)&lt;N($E70))," ",""))</f>
        <v/>
      </c>
      <c r="AR70" s="23">
        <f>IF(AND(COUNT($E70),N(AR$2)=N($E70)),$E70,IF(AND(COUNT($E70),N(AR$2)&gt;=N($G$2),N(AR$2)&lt;N($E70))," ",""))</f>
        <v/>
      </c>
      <c r="AS70" s="23">
        <f>IF(AND(COUNT($E70),N(AS$2)=N($E70)),$E70,IF(AND(COUNT($E70),N(AS$2)&gt;=N($G$2),N(AS$2)&lt;N($E70))," ",""))</f>
        <v/>
      </c>
      <c r="AT70" s="23">
        <f>IF(AND(COUNT($E70),N(AT$2)=N($E70)),$E70,IF(AND(COUNT($E70),N(AT$2)&gt;=N($G$2),N(AT$2)&lt;N($E70))," ",""))</f>
        <v/>
      </c>
      <c r="AU70" s="23">
        <f>IF(AND(COUNT($E70),N(AU$2)=N($E70)),$E70,IF(AND(COUNT($E70),N(AU$2)&gt;=N($G$2),N(AU$2)&lt;N($E70))," ",""))</f>
        <v/>
      </c>
      <c r="AV70" s="23">
        <f>IF(AND(COUNT($E70),N(AV$2)=N($E70)),$E70,IF(AND(COUNT($E70),N(AV$2)&gt;=N($G$2),N(AV$2)&lt;N($E70))," ",""))</f>
        <v/>
      </c>
      <c r="AW70" s="23">
        <f>IF(AND(COUNT($E70),N(AW$2)=N($E70)),$E70,IF(AND(COUNT($E70),N(AW$2)&gt;=N($G$2),N(AW$2)&lt;N($E70))," ",""))</f>
        <v/>
      </c>
      <c r="AX70" s="23">
        <f>IF(AND(COUNT($E70),N(AX$2)=N($E70)),$E70,IF(AND(COUNT($E70),N(AX$2)&gt;=N($G$2),N(AX$2)&lt;N($E70))," ",""))</f>
        <v/>
      </c>
      <c r="AY70" s="23">
        <f>IF(AND(COUNT($E70),N(AY$2)=N($E70)),$E70,IF(AND(COUNT($E70),N(AY$2)&gt;=N($G$2),N(AY$2)&lt;N($E70))," ",""))</f>
        <v/>
      </c>
      <c r="AZ70" s="23">
        <f>IF(AND(COUNT($E70),N(AZ$2)=N($E70)),$E70,IF(AND(COUNT($E70),N(AZ$2)&gt;=N($G$2),N(AZ$2)&lt;N($E70))," ",""))</f>
        <v/>
      </c>
      <c r="BA70" s="23">
        <f>IF(AND(COUNT($E70),N(BA$2)=N($E70)),$E70,IF(AND(COUNT($E70),N(BA$2)&gt;=N($G$2),N(BA$2)&lt;N($E70))," ",""))</f>
        <v/>
      </c>
      <c r="BB70" s="23">
        <f>IF(AND(COUNT($E70),N(BB$2)=N($E70)),$E70,IF(AND(COUNT($E70),N(BB$2)&gt;=N($G$2),N(BB$2)&lt;N($E70))," ",""))</f>
        <v/>
      </c>
      <c r="BC70" s="23">
        <f>IF(AND(COUNT($E70),N(BC$2)=N($E70)),$E70,IF(AND(COUNT($E70),N(BC$2)&gt;=N($G$2),N(BC$2)&lt;N($E70))," ",""))</f>
        <v/>
      </c>
      <c r="BD70" s="23">
        <f>IF(AND(COUNT($E70),N(BD$2)=N($E70)),$E70,IF(AND(COUNT($E70),N(BD$2)&gt;=N($G$2),N(BD$2)&lt;N($E70))," ",""))</f>
        <v/>
      </c>
      <c r="BE70" s="23">
        <f>IF(AND(COUNT($E70),N(BE$2)=N($E70)),$E70,IF(AND(COUNT($E70),N(BE$2)&gt;=N($G$2),N(BE$2)&lt;N($E70))," ",""))</f>
        <v/>
      </c>
      <c r="BF70" s="23">
        <f>IF(AND(COUNT($E70),N(BF$2)=N($E70)),$E70,IF(AND(COUNT($E70),N(BF$2)&gt;=N($G$2),N(BF$2)&lt;N($E70))," ",""))</f>
        <v/>
      </c>
      <c r="BG70" s="23">
        <f>IF(AND(COUNT($E70),N(BG$2)=N($E70)),$E70,IF(AND(COUNT($E70),N(BG$2)&gt;=N($G$2),N(BG$2)&lt;N($E70))," ",""))</f>
        <v/>
      </c>
      <c r="BH70" s="23">
        <f>IF(AND(COUNT($E70),N(BH$2)=N($E70)),$E70,IF(AND(COUNT($E70),N(BH$2)&gt;=N($G$2),N(BH$2)&lt;N($E70))," ",""))</f>
        <v/>
      </c>
      <c r="BI70" s="23">
        <f>IF(AND(COUNT($E70),N(BI$2)=N($E70)),$E70,IF(AND(COUNT($E70),N(BI$2)&gt;=N($G$2),N(BI$2)&lt;N($E70))," ",""))</f>
        <v/>
      </c>
      <c r="BJ70" s="23">
        <f>IF(AND(COUNT($E70),N(BJ$2)=N($E70)),$E70,IF(AND(COUNT($E70),N(BJ$2)&gt;=N($G$2),N(BJ$2)&lt;N($E70))," ",""))</f>
        <v/>
      </c>
      <c r="BK70" s="23">
        <f>IF(AND(COUNT($E70),N(BK$2)=N($E70)),$E70,IF(AND(COUNT($E70),N(BK$2)&gt;=N($G$2),N(BK$2)&lt;N($E70))," ",""))</f>
        <v/>
      </c>
      <c r="BL70" s="23">
        <f>IF(AND(COUNT($E70),N(BL$2)=N($E70)),$E70,IF(AND(COUNT($E70),N(BL$2)&gt;=N($G$2),N(BL$2)&lt;N($E70))," ",""))</f>
        <v/>
      </c>
      <c r="BM70" s="23">
        <f>IF(AND(COUNT($E70),N(BM$2)=N($E70)),$E70,IF(AND(COUNT($E70),N(BM$2)&gt;=N($G$2),N(BM$2)&lt;N($E70))," ",""))</f>
        <v/>
      </c>
      <c r="BN70" s="23">
        <f>IF(AND(COUNT($E70),N(BN$2)=N($E70)),$E70,IF(AND(COUNT($E70),N(BN$2)&gt;=N($G$2),N(BN$2)&lt;N($E70))," ",""))</f>
        <v/>
      </c>
      <c r="BO70" s="23">
        <f>IF(AND(COUNT($E70),N(BO$2)=N($E70)),$E70,IF(AND(COUNT($E70),N(BO$2)&gt;=N($G$2),N(BO$2)&lt;N($E70))," ",""))</f>
        <v/>
      </c>
      <c r="BP70" s="23">
        <f>IF(AND(COUNT($E70),N(BP$2)=N($E70)),$E70,IF(AND(COUNT($E70),N(BP$2)&gt;=N($G$2),N(BP$2)&lt;N($E70))," ",""))</f>
        <v/>
      </c>
      <c r="BQ70" s="23">
        <f>IF(AND(COUNT($E70),N(BQ$2)=N($E70)),$E70,IF(AND(COUNT($E70),N(BQ$2)&gt;=N($G$2),N(BQ$2)&lt;N($E70))," ",""))</f>
        <v/>
      </c>
      <c r="BR70" s="23">
        <f>IF(AND(COUNT($E70),N(BR$2)=N($E70)),$E70,IF(AND(COUNT($E70),N(BR$2)&gt;=N($G$2),N(BR$2)&lt;N($E70))," ",""))</f>
        <v/>
      </c>
      <c r="BS70" s="23">
        <f>IF(AND(COUNT($E70),N(BS$2)=N($E70)),$E70,IF(AND(COUNT($E70),N(BS$2)&gt;=N($G$2),N(BS$2)&lt;N($E70))," ",""))</f>
        <v/>
      </c>
    </row>
    <row r="71" ht="20" customHeight="1">
      <c r="A71" s="21" t="inlineStr">
        <is>
          <t>预估</t>
        </is>
      </c>
      <c r="B71" s="21" t="inlineStr">
        <is>
          <t>第二期</t>
        </is>
      </c>
      <c r="C71" s="22" t="inlineStr">
        <is>
          <t>PAB180·工装实物到位</t>
        </is>
      </c>
      <c r="D71" s="23">
        <f>'时间节点计划表'!E36</f>
        <v/>
      </c>
      <c r="E71" s="23">
        <f>IF(COUNT('时间节点计划表'!F36),'时间节点计划表'!F36,"")</f>
        <v/>
      </c>
      <c r="F71" s="24" t="inlineStr"/>
      <c r="G71" s="25">
        <f>D71</f>
        <v/>
      </c>
      <c r="H71" s="26" t="n"/>
      <c r="I71" s="26" t="n"/>
      <c r="J71" s="26" t="n"/>
      <c r="K71" s="26" t="n"/>
      <c r="L71" s="26" t="n"/>
      <c r="M71" s="26" t="n"/>
      <c r="N71" s="26" t="n"/>
      <c r="O71" s="26" t="n"/>
      <c r="P71" s="26" t="n"/>
      <c r="Q71" s="26" t="n"/>
      <c r="R71" s="26" t="n"/>
      <c r="S71" s="26" t="n"/>
      <c r="T71" s="26" t="n"/>
      <c r="U71" s="26" t="n"/>
      <c r="V71" s="26" t="n"/>
      <c r="W71" s="26" t="n"/>
      <c r="X71" s="26" t="n"/>
      <c r="Y71" s="26" t="n"/>
      <c r="Z71" s="26" t="n"/>
      <c r="AA71" s="26" t="n"/>
      <c r="AB71" s="26" t="n"/>
      <c r="AC71" s="26" t="n"/>
      <c r="AD71" s="26" t="n"/>
      <c r="AE71" s="26" t="n"/>
      <c r="AF71" s="26" t="n"/>
      <c r="AG71" s="26" t="n"/>
      <c r="AH71" s="26" t="n"/>
      <c r="AI71" s="26" t="n"/>
      <c r="AJ71" s="26" t="n"/>
      <c r="AK71" s="26" t="n"/>
      <c r="AL71" s="26" t="n"/>
      <c r="AM71" s="26" t="n"/>
      <c r="AN71" s="26" t="n"/>
      <c r="AO71" s="26" t="n"/>
      <c r="AP71" s="26" t="n"/>
      <c r="AQ71" s="26" t="n"/>
      <c r="AR71" s="26" t="n"/>
      <c r="AS71" s="26" t="n"/>
      <c r="AT71" s="26" t="n"/>
      <c r="AU71" s="26" t="n"/>
      <c r="AV71" s="26" t="n"/>
      <c r="AW71" s="26" t="n"/>
      <c r="AX71" s="26" t="n"/>
      <c r="AY71" s="26" t="n"/>
      <c r="AZ71" s="26" t="n"/>
      <c r="BA71" s="26" t="n"/>
      <c r="BB71" s="26" t="n"/>
      <c r="BC71" s="26" t="n"/>
      <c r="BD71" s="27" t="n"/>
      <c r="BE71" s="28" t="n"/>
      <c r="BF71" s="28" t="n"/>
      <c r="BG71" s="28" t="n"/>
      <c r="BH71" s="28" t="n"/>
      <c r="BI71" s="28" t="n"/>
      <c r="BJ71" s="28" t="n"/>
      <c r="BK71" s="28" t="n"/>
      <c r="BL71" s="28" t="n"/>
      <c r="BM71" s="28" t="n"/>
      <c r="BN71" s="28" t="n"/>
      <c r="BO71" s="28" t="n"/>
      <c r="BP71" s="28" t="n"/>
      <c r="BQ71" s="28" t="n"/>
      <c r="BR71" s="28" t="n"/>
      <c r="BS71" s="28" t="n"/>
    </row>
    <row r="72" ht="20" customHeight="1">
      <c r="A72" s="29" t="inlineStr">
        <is>
          <t>实际</t>
        </is>
      </c>
      <c r="B72" s="29" t="inlineStr">
        <is>
          <t>第二期</t>
        </is>
      </c>
      <c r="C72" s="30" t="inlineStr">
        <is>
          <t>PAB180·工装实物到位</t>
        </is>
      </c>
      <c r="D72" s="31">
        <f>'时间节点计划表'!E36</f>
        <v/>
      </c>
      <c r="E72" s="31">
        <f>IF(COUNT('时间节点计划表'!F36),'时间节点计划表'!F36,"")</f>
        <v/>
      </c>
      <c r="F72" s="32">
        <f>IF(OR(D72="",E72=""),"待填",E72-D72)</f>
        <v/>
      </c>
      <c r="G72" s="23">
        <f>IF(AND(COUNT($E72),N(G$2)=N($E72)),$E72,IF(AND(COUNT($E72),N(G$2)&gt;=N($G$2),N(G$2)&lt;N($E72))," ",""))</f>
        <v/>
      </c>
      <c r="H72" s="23">
        <f>IF(AND(COUNT($E72),N(H$2)=N($E72)),$E72,IF(AND(COUNT($E72),N(H$2)&gt;=N($G$2),N(H$2)&lt;N($E72))," ",""))</f>
        <v/>
      </c>
      <c r="I72" s="23">
        <f>IF(AND(COUNT($E72),N(I$2)=N($E72)),$E72,IF(AND(COUNT($E72),N(I$2)&gt;=N($G$2),N(I$2)&lt;N($E72))," ",""))</f>
        <v/>
      </c>
      <c r="J72" s="23">
        <f>IF(AND(COUNT($E72),N(J$2)=N($E72)),$E72,IF(AND(COUNT($E72),N(J$2)&gt;=N($G$2),N(J$2)&lt;N($E72))," ",""))</f>
        <v/>
      </c>
      <c r="K72" s="23">
        <f>IF(AND(COUNT($E72),N(K$2)=N($E72)),$E72,IF(AND(COUNT($E72),N(K$2)&gt;=N($G$2),N(K$2)&lt;N($E72))," ",""))</f>
        <v/>
      </c>
      <c r="L72" s="23">
        <f>IF(AND(COUNT($E72),N(L$2)=N($E72)),$E72,IF(AND(COUNT($E72),N(L$2)&gt;=N($G$2),N(L$2)&lt;N($E72))," ",""))</f>
        <v/>
      </c>
      <c r="M72" s="23">
        <f>IF(AND(COUNT($E72),N(M$2)=N($E72)),$E72,IF(AND(COUNT($E72),N(M$2)&gt;=N($G$2),N(M$2)&lt;N($E72))," ",""))</f>
        <v/>
      </c>
      <c r="N72" s="23">
        <f>IF(AND(COUNT($E72),N(N$2)=N($E72)),$E72,IF(AND(COUNT($E72),N(N$2)&gt;=N($G$2),N(N$2)&lt;N($E72))," ",""))</f>
        <v/>
      </c>
      <c r="O72" s="23">
        <f>IF(AND(COUNT($E72),N(O$2)=N($E72)),$E72,IF(AND(COUNT($E72),N(O$2)&gt;=N($G$2),N(O$2)&lt;N($E72))," ",""))</f>
        <v/>
      </c>
      <c r="P72" s="23">
        <f>IF(AND(COUNT($E72),N(P$2)=N($E72)),$E72,IF(AND(COUNT($E72),N(P$2)&gt;=N($G$2),N(P$2)&lt;N($E72))," ",""))</f>
        <v/>
      </c>
      <c r="Q72" s="23">
        <f>IF(AND(COUNT($E72),N(Q$2)=N($E72)),$E72,IF(AND(COUNT($E72),N(Q$2)&gt;=N($G$2),N(Q$2)&lt;N($E72))," ",""))</f>
        <v/>
      </c>
      <c r="R72" s="23">
        <f>IF(AND(COUNT($E72),N(R$2)=N($E72)),$E72,IF(AND(COUNT($E72),N(R$2)&gt;=N($G$2),N(R$2)&lt;N($E72))," ",""))</f>
        <v/>
      </c>
      <c r="S72" s="23">
        <f>IF(AND(COUNT($E72),N(S$2)=N($E72)),$E72,IF(AND(COUNT($E72),N(S$2)&gt;=N($G$2),N(S$2)&lt;N($E72))," ",""))</f>
        <v/>
      </c>
      <c r="T72" s="23">
        <f>IF(AND(COUNT($E72),N(T$2)=N($E72)),$E72,IF(AND(COUNT($E72),N(T$2)&gt;=N($G$2),N(T$2)&lt;N($E72))," ",""))</f>
        <v/>
      </c>
      <c r="U72" s="23">
        <f>IF(AND(COUNT($E72),N(U$2)=N($E72)),$E72,IF(AND(COUNT($E72),N(U$2)&gt;=N($G$2),N(U$2)&lt;N($E72))," ",""))</f>
        <v/>
      </c>
      <c r="V72" s="23">
        <f>IF(AND(COUNT($E72),N(V$2)=N($E72)),$E72,IF(AND(COUNT($E72),N(V$2)&gt;=N($G$2),N(V$2)&lt;N($E72))," ",""))</f>
        <v/>
      </c>
      <c r="W72" s="23">
        <f>IF(AND(COUNT($E72),N(W$2)=N($E72)),$E72,IF(AND(COUNT($E72),N(W$2)&gt;=N($G$2),N(W$2)&lt;N($E72))," ",""))</f>
        <v/>
      </c>
      <c r="X72" s="23">
        <f>IF(AND(COUNT($E72),N(X$2)=N($E72)),$E72,IF(AND(COUNT($E72),N(X$2)&gt;=N($G$2),N(X$2)&lt;N($E72))," ",""))</f>
        <v/>
      </c>
      <c r="Y72" s="23">
        <f>IF(AND(COUNT($E72),N(Y$2)=N($E72)),$E72,IF(AND(COUNT($E72),N(Y$2)&gt;=N($G$2),N(Y$2)&lt;N($E72))," ",""))</f>
        <v/>
      </c>
      <c r="Z72" s="23">
        <f>IF(AND(COUNT($E72),N(Z$2)=N($E72)),$E72,IF(AND(COUNT($E72),N(Z$2)&gt;=N($G$2),N(Z$2)&lt;N($E72))," ",""))</f>
        <v/>
      </c>
      <c r="AA72" s="23">
        <f>IF(AND(COUNT($E72),N(AA$2)=N($E72)),$E72,IF(AND(COUNT($E72),N(AA$2)&gt;=N($G$2),N(AA$2)&lt;N($E72))," ",""))</f>
        <v/>
      </c>
      <c r="AB72" s="23">
        <f>IF(AND(COUNT($E72),N(AB$2)=N($E72)),$E72,IF(AND(COUNT($E72),N(AB$2)&gt;=N($G$2),N(AB$2)&lt;N($E72))," ",""))</f>
        <v/>
      </c>
      <c r="AC72" s="23">
        <f>IF(AND(COUNT($E72),N(AC$2)=N($E72)),$E72,IF(AND(COUNT($E72),N(AC$2)&gt;=N($G$2),N(AC$2)&lt;N($E72))," ",""))</f>
        <v/>
      </c>
      <c r="AD72" s="23">
        <f>IF(AND(COUNT($E72),N(AD$2)=N($E72)),$E72,IF(AND(COUNT($E72),N(AD$2)&gt;=N($G$2),N(AD$2)&lt;N($E72))," ",""))</f>
        <v/>
      </c>
      <c r="AE72" s="23">
        <f>IF(AND(COUNT($E72),N(AE$2)=N($E72)),$E72,IF(AND(COUNT($E72),N(AE$2)&gt;=N($G$2),N(AE$2)&lt;N($E72))," ",""))</f>
        <v/>
      </c>
      <c r="AF72" s="23">
        <f>IF(AND(COUNT($E72),N(AF$2)=N($E72)),$E72,IF(AND(COUNT($E72),N(AF$2)&gt;=N($G$2),N(AF$2)&lt;N($E72))," ",""))</f>
        <v/>
      </c>
      <c r="AG72" s="23">
        <f>IF(AND(COUNT($E72),N(AG$2)=N($E72)),$E72,IF(AND(COUNT($E72),N(AG$2)&gt;=N($G$2),N(AG$2)&lt;N($E72))," ",""))</f>
        <v/>
      </c>
      <c r="AH72" s="23">
        <f>IF(AND(COUNT($E72),N(AH$2)=N($E72)),$E72,IF(AND(COUNT($E72),N(AH$2)&gt;=N($G$2),N(AH$2)&lt;N($E72))," ",""))</f>
        <v/>
      </c>
      <c r="AI72" s="23">
        <f>IF(AND(COUNT($E72),N(AI$2)=N($E72)),$E72,IF(AND(COUNT($E72),N(AI$2)&gt;=N($G$2),N(AI$2)&lt;N($E72))," ",""))</f>
        <v/>
      </c>
      <c r="AJ72" s="23">
        <f>IF(AND(COUNT($E72),N(AJ$2)=N($E72)),$E72,IF(AND(COUNT($E72),N(AJ$2)&gt;=N($G$2),N(AJ$2)&lt;N($E72))," ",""))</f>
        <v/>
      </c>
      <c r="AK72" s="23">
        <f>IF(AND(COUNT($E72),N(AK$2)=N($E72)),$E72,IF(AND(COUNT($E72),N(AK$2)&gt;=N($G$2),N(AK$2)&lt;N($E72))," ",""))</f>
        <v/>
      </c>
      <c r="AL72" s="23">
        <f>IF(AND(COUNT($E72),N(AL$2)=N($E72)),$E72,IF(AND(COUNT($E72),N(AL$2)&gt;=N($G$2),N(AL$2)&lt;N($E72))," ",""))</f>
        <v/>
      </c>
      <c r="AM72" s="23">
        <f>IF(AND(COUNT($E72),N(AM$2)=N($E72)),$E72,IF(AND(COUNT($E72),N(AM$2)&gt;=N($G$2),N(AM$2)&lt;N($E72))," ",""))</f>
        <v/>
      </c>
      <c r="AN72" s="23">
        <f>IF(AND(COUNT($E72),N(AN$2)=N($E72)),$E72,IF(AND(COUNT($E72),N(AN$2)&gt;=N($G$2),N(AN$2)&lt;N($E72))," ",""))</f>
        <v/>
      </c>
      <c r="AO72" s="23">
        <f>IF(AND(COUNT($E72),N(AO$2)=N($E72)),$E72,IF(AND(COUNT($E72),N(AO$2)&gt;=N($G$2),N(AO$2)&lt;N($E72))," ",""))</f>
        <v/>
      </c>
      <c r="AP72" s="23">
        <f>IF(AND(COUNT($E72),N(AP$2)=N($E72)),$E72,IF(AND(COUNT($E72),N(AP$2)&gt;=N($G$2),N(AP$2)&lt;N($E72))," ",""))</f>
        <v/>
      </c>
      <c r="AQ72" s="23">
        <f>IF(AND(COUNT($E72),N(AQ$2)=N($E72)),$E72,IF(AND(COUNT($E72),N(AQ$2)&gt;=N($G$2),N(AQ$2)&lt;N($E72))," ",""))</f>
        <v/>
      </c>
      <c r="AR72" s="23">
        <f>IF(AND(COUNT($E72),N(AR$2)=N($E72)),$E72,IF(AND(COUNT($E72),N(AR$2)&gt;=N($G$2),N(AR$2)&lt;N($E72))," ",""))</f>
        <v/>
      </c>
      <c r="AS72" s="23">
        <f>IF(AND(COUNT($E72),N(AS$2)=N($E72)),$E72,IF(AND(COUNT($E72),N(AS$2)&gt;=N($G$2),N(AS$2)&lt;N($E72))," ",""))</f>
        <v/>
      </c>
      <c r="AT72" s="23">
        <f>IF(AND(COUNT($E72),N(AT$2)=N($E72)),$E72,IF(AND(COUNT($E72),N(AT$2)&gt;=N($G$2),N(AT$2)&lt;N($E72))," ",""))</f>
        <v/>
      </c>
      <c r="AU72" s="23">
        <f>IF(AND(COUNT($E72),N(AU$2)=N($E72)),$E72,IF(AND(COUNT($E72),N(AU$2)&gt;=N($G$2),N(AU$2)&lt;N($E72))," ",""))</f>
        <v/>
      </c>
      <c r="AV72" s="23">
        <f>IF(AND(COUNT($E72),N(AV$2)=N($E72)),$E72,IF(AND(COUNT($E72),N(AV$2)&gt;=N($G$2),N(AV$2)&lt;N($E72))," ",""))</f>
        <v/>
      </c>
      <c r="AW72" s="23">
        <f>IF(AND(COUNT($E72),N(AW$2)=N($E72)),$E72,IF(AND(COUNT($E72),N(AW$2)&gt;=N($G$2),N(AW$2)&lt;N($E72))," ",""))</f>
        <v/>
      </c>
      <c r="AX72" s="23">
        <f>IF(AND(COUNT($E72),N(AX$2)=N($E72)),$E72,IF(AND(COUNT($E72),N(AX$2)&gt;=N($G$2),N(AX$2)&lt;N($E72))," ",""))</f>
        <v/>
      </c>
      <c r="AY72" s="23">
        <f>IF(AND(COUNT($E72),N(AY$2)=N($E72)),$E72,IF(AND(COUNT($E72),N(AY$2)&gt;=N($G$2),N(AY$2)&lt;N($E72))," ",""))</f>
        <v/>
      </c>
      <c r="AZ72" s="23">
        <f>IF(AND(COUNT($E72),N(AZ$2)=N($E72)),$E72,IF(AND(COUNT($E72),N(AZ$2)&gt;=N($G$2),N(AZ$2)&lt;N($E72))," ",""))</f>
        <v/>
      </c>
      <c r="BA72" s="23">
        <f>IF(AND(COUNT($E72),N(BA$2)=N($E72)),$E72,IF(AND(COUNT($E72),N(BA$2)&gt;=N($G$2),N(BA$2)&lt;N($E72))," ",""))</f>
        <v/>
      </c>
      <c r="BB72" s="23">
        <f>IF(AND(COUNT($E72),N(BB$2)=N($E72)),$E72,IF(AND(COUNT($E72),N(BB$2)&gt;=N($G$2),N(BB$2)&lt;N($E72))," ",""))</f>
        <v/>
      </c>
      <c r="BC72" s="23">
        <f>IF(AND(COUNT($E72),N(BC$2)=N($E72)),$E72,IF(AND(COUNT($E72),N(BC$2)&gt;=N($G$2),N(BC$2)&lt;N($E72))," ",""))</f>
        <v/>
      </c>
      <c r="BD72" s="23">
        <f>IF(AND(COUNT($E72),N(BD$2)=N($E72)),$E72,IF(AND(COUNT($E72),N(BD$2)&gt;=N($G$2),N(BD$2)&lt;N($E72))," ",""))</f>
        <v/>
      </c>
      <c r="BE72" s="23">
        <f>IF(AND(COUNT($E72),N(BE$2)=N($E72)),$E72,IF(AND(COUNT($E72),N(BE$2)&gt;=N($G$2),N(BE$2)&lt;N($E72))," ",""))</f>
        <v/>
      </c>
      <c r="BF72" s="23">
        <f>IF(AND(COUNT($E72),N(BF$2)=N($E72)),$E72,IF(AND(COUNT($E72),N(BF$2)&gt;=N($G$2),N(BF$2)&lt;N($E72))," ",""))</f>
        <v/>
      </c>
      <c r="BG72" s="23">
        <f>IF(AND(COUNT($E72),N(BG$2)=N($E72)),$E72,IF(AND(COUNT($E72),N(BG$2)&gt;=N($G$2),N(BG$2)&lt;N($E72))," ",""))</f>
        <v/>
      </c>
      <c r="BH72" s="23">
        <f>IF(AND(COUNT($E72),N(BH$2)=N($E72)),$E72,IF(AND(COUNT($E72),N(BH$2)&gt;=N($G$2),N(BH$2)&lt;N($E72))," ",""))</f>
        <v/>
      </c>
      <c r="BI72" s="23">
        <f>IF(AND(COUNT($E72),N(BI$2)=N($E72)),$E72,IF(AND(COUNT($E72),N(BI$2)&gt;=N($G$2),N(BI$2)&lt;N($E72))," ",""))</f>
        <v/>
      </c>
      <c r="BJ72" s="23">
        <f>IF(AND(COUNT($E72),N(BJ$2)=N($E72)),$E72,IF(AND(COUNT($E72),N(BJ$2)&gt;=N($G$2),N(BJ$2)&lt;N($E72))," ",""))</f>
        <v/>
      </c>
      <c r="BK72" s="23">
        <f>IF(AND(COUNT($E72),N(BK$2)=N($E72)),$E72,IF(AND(COUNT($E72),N(BK$2)&gt;=N($G$2),N(BK$2)&lt;N($E72))," ",""))</f>
        <v/>
      </c>
      <c r="BL72" s="23">
        <f>IF(AND(COUNT($E72),N(BL$2)=N($E72)),$E72,IF(AND(COUNT($E72),N(BL$2)&gt;=N($G$2),N(BL$2)&lt;N($E72))," ",""))</f>
        <v/>
      </c>
      <c r="BM72" s="23">
        <f>IF(AND(COUNT($E72),N(BM$2)=N($E72)),$E72,IF(AND(COUNT($E72),N(BM$2)&gt;=N($G$2),N(BM$2)&lt;N($E72))," ",""))</f>
        <v/>
      </c>
      <c r="BN72" s="23">
        <f>IF(AND(COUNT($E72),N(BN$2)=N($E72)),$E72,IF(AND(COUNT($E72),N(BN$2)&gt;=N($G$2),N(BN$2)&lt;N($E72))," ",""))</f>
        <v/>
      </c>
      <c r="BO72" s="23">
        <f>IF(AND(COUNT($E72),N(BO$2)=N($E72)),$E72,IF(AND(COUNT($E72),N(BO$2)&gt;=N($G$2),N(BO$2)&lt;N($E72))," ",""))</f>
        <v/>
      </c>
      <c r="BP72" s="23">
        <f>IF(AND(COUNT($E72),N(BP$2)=N($E72)),$E72,IF(AND(COUNT($E72),N(BP$2)&gt;=N($G$2),N(BP$2)&lt;N($E72))," ",""))</f>
        <v/>
      </c>
      <c r="BQ72" s="23">
        <f>IF(AND(COUNT($E72),N(BQ$2)=N($E72)),$E72,IF(AND(COUNT($E72),N(BQ$2)&gt;=N($G$2),N(BQ$2)&lt;N($E72))," ",""))</f>
        <v/>
      </c>
      <c r="BR72" s="23">
        <f>IF(AND(COUNT($E72),N(BR$2)=N($E72)),$E72,IF(AND(COUNT($E72),N(BR$2)&gt;=N($G$2),N(BR$2)&lt;N($E72))," ",""))</f>
        <v/>
      </c>
      <c r="BS72" s="23">
        <f>IF(AND(COUNT($E72),N(BS$2)=N($E72)),$E72,IF(AND(COUNT($E72),N(BS$2)&gt;=N($G$2),N(BS$2)&lt;N($E72))," ",""))</f>
        <v/>
      </c>
    </row>
    <row r="73" ht="20" customHeight="1">
      <c r="A73" s="21" t="inlineStr">
        <is>
          <t>预估</t>
        </is>
      </c>
      <c r="B73" s="21" t="inlineStr">
        <is>
          <t>第二期</t>
        </is>
      </c>
      <c r="C73" s="22" t="inlineStr">
        <is>
          <t>PAB180·排针机安装调试</t>
        </is>
      </c>
      <c r="D73" s="23">
        <f>'时间节点计划表'!E37</f>
        <v/>
      </c>
      <c r="E73" s="23">
        <f>IF(COUNT('时间节点计划表'!F37),'时间节点计划表'!F37,"")</f>
        <v/>
      </c>
      <c r="F73" s="24" t="inlineStr"/>
      <c r="G73" s="25">
        <f>D73</f>
        <v/>
      </c>
      <c r="H73" s="26" t="n"/>
      <c r="I73" s="26" t="n"/>
      <c r="J73" s="26" t="n"/>
      <c r="K73" s="26" t="n"/>
      <c r="L73" s="26" t="n"/>
      <c r="M73" s="26" t="n"/>
      <c r="N73" s="26" t="n"/>
      <c r="O73" s="26" t="n"/>
      <c r="P73" s="26" t="n"/>
      <c r="Q73" s="26" t="n"/>
      <c r="R73" s="26" t="n"/>
      <c r="S73" s="26" t="n"/>
      <c r="T73" s="26" t="n"/>
      <c r="U73" s="26" t="n"/>
      <c r="V73" s="26" t="n"/>
      <c r="W73" s="26" t="n"/>
      <c r="X73" s="26" t="n"/>
      <c r="Y73" s="26" t="n"/>
      <c r="Z73" s="26" t="n"/>
      <c r="AA73" s="26" t="n"/>
      <c r="AB73" s="26" t="n"/>
      <c r="AC73" s="26" t="n"/>
      <c r="AD73" s="26" t="n"/>
      <c r="AE73" s="26" t="n"/>
      <c r="AF73" s="26" t="n"/>
      <c r="AG73" s="26" t="n"/>
      <c r="AH73" s="26" t="n"/>
      <c r="AI73" s="26" t="n"/>
      <c r="AJ73" s="26" t="n"/>
      <c r="AK73" s="26" t="n"/>
      <c r="AL73" s="26" t="n"/>
      <c r="AM73" s="26" t="n"/>
      <c r="AN73" s="26" t="n"/>
      <c r="AO73" s="26" t="n"/>
      <c r="AP73" s="26" t="n"/>
      <c r="AQ73" s="26" t="n"/>
      <c r="AR73" s="26" t="n"/>
      <c r="AS73" s="26" t="n"/>
      <c r="AT73" s="26" t="n"/>
      <c r="AU73" s="26" t="n"/>
      <c r="AV73" s="26" t="n"/>
      <c r="AW73" s="26" t="n"/>
      <c r="AX73" s="26" t="n"/>
      <c r="AY73" s="26" t="n"/>
      <c r="AZ73" s="26" t="n"/>
      <c r="BA73" s="26" t="n"/>
      <c r="BB73" s="26" t="n"/>
      <c r="BC73" s="26" t="n"/>
      <c r="BD73" s="26" t="n"/>
      <c r="BE73" s="26" t="n"/>
      <c r="BF73" s="26" t="n"/>
      <c r="BG73" s="26" t="n"/>
      <c r="BH73" s="26" t="n"/>
      <c r="BI73" s="26" t="n"/>
      <c r="BJ73" s="26" t="n"/>
      <c r="BK73" s="27" t="n"/>
      <c r="BL73" s="28" t="n"/>
      <c r="BM73" s="28" t="n"/>
      <c r="BN73" s="28" t="n"/>
      <c r="BO73" s="28" t="n"/>
      <c r="BP73" s="28" t="n"/>
      <c r="BQ73" s="28" t="n"/>
      <c r="BR73" s="28" t="n"/>
      <c r="BS73" s="28" t="n"/>
    </row>
    <row r="74" ht="20" customHeight="1">
      <c r="A74" s="29" t="inlineStr">
        <is>
          <t>实际</t>
        </is>
      </c>
      <c r="B74" s="29" t="inlineStr">
        <is>
          <t>第二期</t>
        </is>
      </c>
      <c r="C74" s="30" t="inlineStr">
        <is>
          <t>PAB180·排针机安装调试</t>
        </is>
      </c>
      <c r="D74" s="31">
        <f>'时间节点计划表'!E37</f>
        <v/>
      </c>
      <c r="E74" s="31">
        <f>IF(COUNT('时间节点计划表'!F37),'时间节点计划表'!F37,"")</f>
        <v/>
      </c>
      <c r="F74" s="32">
        <f>IF(OR(D74="",E74=""),"待填",E74-D74)</f>
        <v/>
      </c>
      <c r="G74" s="23">
        <f>IF(AND(COUNT($E74),N(G$2)=N($E74)),$E74,IF(AND(COUNT($E74),N(G$2)&gt;=N($G$2),N(G$2)&lt;N($E74))," ",""))</f>
        <v/>
      </c>
      <c r="H74" s="23">
        <f>IF(AND(COUNT($E74),N(H$2)=N($E74)),$E74,IF(AND(COUNT($E74),N(H$2)&gt;=N($G$2),N(H$2)&lt;N($E74))," ",""))</f>
        <v/>
      </c>
      <c r="I74" s="23">
        <f>IF(AND(COUNT($E74),N(I$2)=N($E74)),$E74,IF(AND(COUNT($E74),N(I$2)&gt;=N($G$2),N(I$2)&lt;N($E74))," ",""))</f>
        <v/>
      </c>
      <c r="J74" s="23">
        <f>IF(AND(COUNT($E74),N(J$2)=N($E74)),$E74,IF(AND(COUNT($E74),N(J$2)&gt;=N($G$2),N(J$2)&lt;N($E74))," ",""))</f>
        <v/>
      </c>
      <c r="K74" s="23">
        <f>IF(AND(COUNT($E74),N(K$2)=N($E74)),$E74,IF(AND(COUNT($E74),N(K$2)&gt;=N($G$2),N(K$2)&lt;N($E74))," ",""))</f>
        <v/>
      </c>
      <c r="L74" s="23">
        <f>IF(AND(COUNT($E74),N(L$2)=N($E74)),$E74,IF(AND(COUNT($E74),N(L$2)&gt;=N($G$2),N(L$2)&lt;N($E74))," ",""))</f>
        <v/>
      </c>
      <c r="M74" s="23">
        <f>IF(AND(COUNT($E74),N(M$2)=N($E74)),$E74,IF(AND(COUNT($E74),N(M$2)&gt;=N($G$2),N(M$2)&lt;N($E74))," ",""))</f>
        <v/>
      </c>
      <c r="N74" s="23">
        <f>IF(AND(COUNT($E74),N(N$2)=N($E74)),$E74,IF(AND(COUNT($E74),N(N$2)&gt;=N($G$2),N(N$2)&lt;N($E74))," ",""))</f>
        <v/>
      </c>
      <c r="O74" s="23">
        <f>IF(AND(COUNT($E74),N(O$2)=N($E74)),$E74,IF(AND(COUNT($E74),N(O$2)&gt;=N($G$2),N(O$2)&lt;N($E74))," ",""))</f>
        <v/>
      </c>
      <c r="P74" s="23">
        <f>IF(AND(COUNT($E74),N(P$2)=N($E74)),$E74,IF(AND(COUNT($E74),N(P$2)&gt;=N($G$2),N(P$2)&lt;N($E74))," ",""))</f>
        <v/>
      </c>
      <c r="Q74" s="23">
        <f>IF(AND(COUNT($E74),N(Q$2)=N($E74)),$E74,IF(AND(COUNT($E74),N(Q$2)&gt;=N($G$2),N(Q$2)&lt;N($E74))," ",""))</f>
        <v/>
      </c>
      <c r="R74" s="23">
        <f>IF(AND(COUNT($E74),N(R$2)=N($E74)),$E74,IF(AND(COUNT($E74),N(R$2)&gt;=N($G$2),N(R$2)&lt;N($E74))," ",""))</f>
        <v/>
      </c>
      <c r="S74" s="23">
        <f>IF(AND(COUNT($E74),N(S$2)=N($E74)),$E74,IF(AND(COUNT($E74),N(S$2)&gt;=N($G$2),N(S$2)&lt;N($E74))," ",""))</f>
        <v/>
      </c>
      <c r="T74" s="23">
        <f>IF(AND(COUNT($E74),N(T$2)=N($E74)),$E74,IF(AND(COUNT($E74),N(T$2)&gt;=N($G$2),N(T$2)&lt;N($E74))," ",""))</f>
        <v/>
      </c>
      <c r="U74" s="23">
        <f>IF(AND(COUNT($E74),N(U$2)=N($E74)),$E74,IF(AND(COUNT($E74),N(U$2)&gt;=N($G$2),N(U$2)&lt;N($E74))," ",""))</f>
        <v/>
      </c>
      <c r="V74" s="23">
        <f>IF(AND(COUNT($E74),N(V$2)=N($E74)),$E74,IF(AND(COUNT($E74),N(V$2)&gt;=N($G$2),N(V$2)&lt;N($E74))," ",""))</f>
        <v/>
      </c>
      <c r="W74" s="23">
        <f>IF(AND(COUNT($E74),N(W$2)=N($E74)),$E74,IF(AND(COUNT($E74),N(W$2)&gt;=N($G$2),N(W$2)&lt;N($E74))," ",""))</f>
        <v/>
      </c>
      <c r="X74" s="23">
        <f>IF(AND(COUNT($E74),N(X$2)=N($E74)),$E74,IF(AND(COUNT($E74),N(X$2)&gt;=N($G$2),N(X$2)&lt;N($E74))," ",""))</f>
        <v/>
      </c>
      <c r="Y74" s="23">
        <f>IF(AND(COUNT($E74),N(Y$2)=N($E74)),$E74,IF(AND(COUNT($E74),N(Y$2)&gt;=N($G$2),N(Y$2)&lt;N($E74))," ",""))</f>
        <v/>
      </c>
      <c r="Z74" s="23">
        <f>IF(AND(COUNT($E74),N(Z$2)=N($E74)),$E74,IF(AND(COUNT($E74),N(Z$2)&gt;=N($G$2),N(Z$2)&lt;N($E74))," ",""))</f>
        <v/>
      </c>
      <c r="AA74" s="23">
        <f>IF(AND(COUNT($E74),N(AA$2)=N($E74)),$E74,IF(AND(COUNT($E74),N(AA$2)&gt;=N($G$2),N(AA$2)&lt;N($E74))," ",""))</f>
        <v/>
      </c>
      <c r="AB74" s="23">
        <f>IF(AND(COUNT($E74),N(AB$2)=N($E74)),$E74,IF(AND(COUNT($E74),N(AB$2)&gt;=N($G$2),N(AB$2)&lt;N($E74))," ",""))</f>
        <v/>
      </c>
      <c r="AC74" s="23">
        <f>IF(AND(COUNT($E74),N(AC$2)=N($E74)),$E74,IF(AND(COUNT($E74),N(AC$2)&gt;=N($G$2),N(AC$2)&lt;N($E74))," ",""))</f>
        <v/>
      </c>
      <c r="AD74" s="23">
        <f>IF(AND(COUNT($E74),N(AD$2)=N($E74)),$E74,IF(AND(COUNT($E74),N(AD$2)&gt;=N($G$2),N(AD$2)&lt;N($E74))," ",""))</f>
        <v/>
      </c>
      <c r="AE74" s="23">
        <f>IF(AND(COUNT($E74),N(AE$2)=N($E74)),$E74,IF(AND(COUNT($E74),N(AE$2)&gt;=N($G$2),N(AE$2)&lt;N($E74))," ",""))</f>
        <v/>
      </c>
      <c r="AF74" s="23">
        <f>IF(AND(COUNT($E74),N(AF$2)=N($E74)),$E74,IF(AND(COUNT($E74),N(AF$2)&gt;=N($G$2),N(AF$2)&lt;N($E74))," ",""))</f>
        <v/>
      </c>
      <c r="AG74" s="23">
        <f>IF(AND(COUNT($E74),N(AG$2)=N($E74)),$E74,IF(AND(COUNT($E74),N(AG$2)&gt;=N($G$2),N(AG$2)&lt;N($E74))," ",""))</f>
        <v/>
      </c>
      <c r="AH74" s="23">
        <f>IF(AND(COUNT($E74),N(AH$2)=N($E74)),$E74,IF(AND(COUNT($E74),N(AH$2)&gt;=N($G$2),N(AH$2)&lt;N($E74))," ",""))</f>
        <v/>
      </c>
      <c r="AI74" s="23">
        <f>IF(AND(COUNT($E74),N(AI$2)=N($E74)),$E74,IF(AND(COUNT($E74),N(AI$2)&gt;=N($G$2),N(AI$2)&lt;N($E74))," ",""))</f>
        <v/>
      </c>
      <c r="AJ74" s="23">
        <f>IF(AND(COUNT($E74),N(AJ$2)=N($E74)),$E74,IF(AND(COUNT($E74),N(AJ$2)&gt;=N($G$2),N(AJ$2)&lt;N($E74))," ",""))</f>
        <v/>
      </c>
      <c r="AK74" s="23">
        <f>IF(AND(COUNT($E74),N(AK$2)=N($E74)),$E74,IF(AND(COUNT($E74),N(AK$2)&gt;=N($G$2),N(AK$2)&lt;N($E74))," ",""))</f>
        <v/>
      </c>
      <c r="AL74" s="23">
        <f>IF(AND(COUNT($E74),N(AL$2)=N($E74)),$E74,IF(AND(COUNT($E74),N(AL$2)&gt;=N($G$2),N(AL$2)&lt;N($E74))," ",""))</f>
        <v/>
      </c>
      <c r="AM74" s="23">
        <f>IF(AND(COUNT($E74),N(AM$2)=N($E74)),$E74,IF(AND(COUNT($E74),N(AM$2)&gt;=N($G$2),N(AM$2)&lt;N($E74))," ",""))</f>
        <v/>
      </c>
      <c r="AN74" s="23">
        <f>IF(AND(COUNT($E74),N(AN$2)=N($E74)),$E74,IF(AND(COUNT($E74),N(AN$2)&gt;=N($G$2),N(AN$2)&lt;N($E74))," ",""))</f>
        <v/>
      </c>
      <c r="AO74" s="23">
        <f>IF(AND(COUNT($E74),N(AO$2)=N($E74)),$E74,IF(AND(COUNT($E74),N(AO$2)&gt;=N($G$2),N(AO$2)&lt;N($E74))," ",""))</f>
        <v/>
      </c>
      <c r="AP74" s="23">
        <f>IF(AND(COUNT($E74),N(AP$2)=N($E74)),$E74,IF(AND(COUNT($E74),N(AP$2)&gt;=N($G$2),N(AP$2)&lt;N($E74))," ",""))</f>
        <v/>
      </c>
      <c r="AQ74" s="23">
        <f>IF(AND(COUNT($E74),N(AQ$2)=N($E74)),$E74,IF(AND(COUNT($E74),N(AQ$2)&gt;=N($G$2),N(AQ$2)&lt;N($E74))," ",""))</f>
        <v/>
      </c>
      <c r="AR74" s="23">
        <f>IF(AND(COUNT($E74),N(AR$2)=N($E74)),$E74,IF(AND(COUNT($E74),N(AR$2)&gt;=N($G$2),N(AR$2)&lt;N($E74))," ",""))</f>
        <v/>
      </c>
      <c r="AS74" s="23">
        <f>IF(AND(COUNT($E74),N(AS$2)=N($E74)),$E74,IF(AND(COUNT($E74),N(AS$2)&gt;=N($G$2),N(AS$2)&lt;N($E74))," ",""))</f>
        <v/>
      </c>
      <c r="AT74" s="23">
        <f>IF(AND(COUNT($E74),N(AT$2)=N($E74)),$E74,IF(AND(COUNT($E74),N(AT$2)&gt;=N($G$2),N(AT$2)&lt;N($E74))," ",""))</f>
        <v/>
      </c>
      <c r="AU74" s="23">
        <f>IF(AND(COUNT($E74),N(AU$2)=N($E74)),$E74,IF(AND(COUNT($E74),N(AU$2)&gt;=N($G$2),N(AU$2)&lt;N($E74))," ",""))</f>
        <v/>
      </c>
      <c r="AV74" s="23">
        <f>IF(AND(COUNT($E74),N(AV$2)=N($E74)),$E74,IF(AND(COUNT($E74),N(AV$2)&gt;=N($G$2),N(AV$2)&lt;N($E74))," ",""))</f>
        <v/>
      </c>
      <c r="AW74" s="23">
        <f>IF(AND(COUNT($E74),N(AW$2)=N($E74)),$E74,IF(AND(COUNT($E74),N(AW$2)&gt;=N($G$2),N(AW$2)&lt;N($E74))," ",""))</f>
        <v/>
      </c>
      <c r="AX74" s="23">
        <f>IF(AND(COUNT($E74),N(AX$2)=N($E74)),$E74,IF(AND(COUNT($E74),N(AX$2)&gt;=N($G$2),N(AX$2)&lt;N($E74))," ",""))</f>
        <v/>
      </c>
      <c r="AY74" s="23">
        <f>IF(AND(COUNT($E74),N(AY$2)=N($E74)),$E74,IF(AND(COUNT($E74),N(AY$2)&gt;=N($G$2),N(AY$2)&lt;N($E74))," ",""))</f>
        <v/>
      </c>
      <c r="AZ74" s="23">
        <f>IF(AND(COUNT($E74),N(AZ$2)=N($E74)),$E74,IF(AND(COUNT($E74),N(AZ$2)&gt;=N($G$2),N(AZ$2)&lt;N($E74))," ",""))</f>
        <v/>
      </c>
      <c r="BA74" s="23">
        <f>IF(AND(COUNT($E74),N(BA$2)=N($E74)),$E74,IF(AND(COUNT($E74),N(BA$2)&gt;=N($G$2),N(BA$2)&lt;N($E74))," ",""))</f>
        <v/>
      </c>
      <c r="BB74" s="23">
        <f>IF(AND(COUNT($E74),N(BB$2)=N($E74)),$E74,IF(AND(COUNT($E74),N(BB$2)&gt;=N($G$2),N(BB$2)&lt;N($E74))," ",""))</f>
        <v/>
      </c>
      <c r="BC74" s="23">
        <f>IF(AND(COUNT($E74),N(BC$2)=N($E74)),$E74,IF(AND(COUNT($E74),N(BC$2)&gt;=N($G$2),N(BC$2)&lt;N($E74))," ",""))</f>
        <v/>
      </c>
      <c r="BD74" s="23">
        <f>IF(AND(COUNT($E74),N(BD$2)=N($E74)),$E74,IF(AND(COUNT($E74),N(BD$2)&gt;=N($G$2),N(BD$2)&lt;N($E74))," ",""))</f>
        <v/>
      </c>
      <c r="BE74" s="23">
        <f>IF(AND(COUNT($E74),N(BE$2)=N($E74)),$E74,IF(AND(COUNT($E74),N(BE$2)&gt;=N($G$2),N(BE$2)&lt;N($E74))," ",""))</f>
        <v/>
      </c>
      <c r="BF74" s="23">
        <f>IF(AND(COUNT($E74),N(BF$2)=N($E74)),$E74,IF(AND(COUNT($E74),N(BF$2)&gt;=N($G$2),N(BF$2)&lt;N($E74))," ",""))</f>
        <v/>
      </c>
      <c r="BG74" s="23">
        <f>IF(AND(COUNT($E74),N(BG$2)=N($E74)),$E74,IF(AND(COUNT($E74),N(BG$2)&gt;=N($G$2),N(BG$2)&lt;N($E74))," ",""))</f>
        <v/>
      </c>
      <c r="BH74" s="23">
        <f>IF(AND(COUNT($E74),N(BH$2)=N($E74)),$E74,IF(AND(COUNT($E74),N(BH$2)&gt;=N($G$2),N(BH$2)&lt;N($E74))," ",""))</f>
        <v/>
      </c>
      <c r="BI74" s="23">
        <f>IF(AND(COUNT($E74),N(BI$2)=N($E74)),$E74,IF(AND(COUNT($E74),N(BI$2)&gt;=N($G$2),N(BI$2)&lt;N($E74))," ",""))</f>
        <v/>
      </c>
      <c r="BJ74" s="23">
        <f>IF(AND(COUNT($E74),N(BJ$2)=N($E74)),$E74,IF(AND(COUNT($E74),N(BJ$2)&gt;=N($G$2),N(BJ$2)&lt;N($E74))," ",""))</f>
        <v/>
      </c>
      <c r="BK74" s="23">
        <f>IF(AND(COUNT($E74),N(BK$2)=N($E74)),$E74,IF(AND(COUNT($E74),N(BK$2)&gt;=N($G$2),N(BK$2)&lt;N($E74))," ",""))</f>
        <v/>
      </c>
      <c r="BL74" s="23">
        <f>IF(AND(COUNT($E74),N(BL$2)=N($E74)),$E74,IF(AND(COUNT($E74),N(BL$2)&gt;=N($G$2),N(BL$2)&lt;N($E74))," ",""))</f>
        <v/>
      </c>
      <c r="BM74" s="23">
        <f>IF(AND(COUNT($E74),N(BM$2)=N($E74)),$E74,IF(AND(COUNT($E74),N(BM$2)&gt;=N($G$2),N(BM$2)&lt;N($E74))," ",""))</f>
        <v/>
      </c>
      <c r="BN74" s="23">
        <f>IF(AND(COUNT($E74),N(BN$2)=N($E74)),$E74,IF(AND(COUNT($E74),N(BN$2)&gt;=N($G$2),N(BN$2)&lt;N($E74))," ",""))</f>
        <v/>
      </c>
      <c r="BO74" s="23">
        <f>IF(AND(COUNT($E74),N(BO$2)=N($E74)),$E74,IF(AND(COUNT($E74),N(BO$2)&gt;=N($G$2),N(BO$2)&lt;N($E74))," ",""))</f>
        <v/>
      </c>
      <c r="BP74" s="23">
        <f>IF(AND(COUNT($E74),N(BP$2)=N($E74)),$E74,IF(AND(COUNT($E74),N(BP$2)&gt;=N($G$2),N(BP$2)&lt;N($E74))," ",""))</f>
        <v/>
      </c>
      <c r="BQ74" s="23">
        <f>IF(AND(COUNT($E74),N(BQ$2)=N($E74)),$E74,IF(AND(COUNT($E74),N(BQ$2)&gt;=N($G$2),N(BQ$2)&lt;N($E74))," ",""))</f>
        <v/>
      </c>
      <c r="BR74" s="23">
        <f>IF(AND(COUNT($E74),N(BR$2)=N($E74)),$E74,IF(AND(COUNT($E74),N(BR$2)&gt;=N($G$2),N(BR$2)&lt;N($E74))," ",""))</f>
        <v/>
      </c>
      <c r="BS74" s="23">
        <f>IF(AND(COUNT($E74),N(BS$2)=N($E74)),$E74,IF(AND(COUNT($E74),N(BS$2)&gt;=N($G$2),N(BS$2)&lt;N($E74))," ",""))</f>
        <v/>
      </c>
    </row>
    <row r="75" ht="20" customHeight="1">
      <c r="A75" s="21" t="inlineStr">
        <is>
          <t>预估</t>
        </is>
      </c>
      <c r="B75" s="21" t="inlineStr">
        <is>
          <t>第二期</t>
        </is>
      </c>
      <c r="C75" s="22" t="inlineStr">
        <is>
          <t>PAB180·单级样机</t>
        </is>
      </c>
      <c r="D75" s="23">
        <f>'时间节点计划表'!E38</f>
        <v/>
      </c>
      <c r="E75" s="23">
        <f>IF(COUNT('时间节点计划表'!F38),'时间节点计划表'!F38,"")</f>
        <v/>
      </c>
      <c r="F75" s="24" t="inlineStr"/>
      <c r="G75" s="25">
        <f>D75</f>
        <v/>
      </c>
      <c r="H75" s="26" t="n"/>
      <c r="I75" s="26" t="n"/>
      <c r="J75" s="26" t="n"/>
      <c r="K75" s="26" t="n"/>
      <c r="L75" s="26" t="n"/>
      <c r="M75" s="26" t="n"/>
      <c r="N75" s="26" t="n"/>
      <c r="O75" s="26" t="n"/>
      <c r="P75" s="26" t="n"/>
      <c r="Q75" s="26" t="n"/>
      <c r="R75" s="26" t="n"/>
      <c r="S75" s="26" t="n"/>
      <c r="T75" s="26" t="n"/>
      <c r="U75" s="26" t="n"/>
      <c r="V75" s="26" t="n"/>
      <c r="W75" s="26" t="n"/>
      <c r="X75" s="26" t="n"/>
      <c r="Y75" s="26" t="n"/>
      <c r="Z75" s="26" t="n"/>
      <c r="AA75" s="26" t="n"/>
      <c r="AB75" s="26" t="n"/>
      <c r="AC75" s="26" t="n"/>
      <c r="AD75" s="26" t="n"/>
      <c r="AE75" s="26" t="n"/>
      <c r="AF75" s="26" t="n"/>
      <c r="AG75" s="26" t="n"/>
      <c r="AH75" s="26" t="n"/>
      <c r="AI75" s="26" t="n"/>
      <c r="AJ75" s="26" t="n"/>
      <c r="AK75" s="26" t="n"/>
      <c r="AL75" s="26" t="n"/>
      <c r="AM75" s="26" t="n"/>
      <c r="AN75" s="26" t="n"/>
      <c r="AO75" s="26" t="n"/>
      <c r="AP75" s="26" t="n"/>
      <c r="AQ75" s="26" t="n"/>
      <c r="AR75" s="26" t="n"/>
      <c r="AS75" s="26" t="n"/>
      <c r="AT75" s="26" t="n"/>
      <c r="AU75" s="26" t="n"/>
      <c r="AV75" s="26" t="n"/>
      <c r="AW75" s="26" t="n"/>
      <c r="AX75" s="26" t="n"/>
      <c r="AY75" s="26" t="n"/>
      <c r="AZ75" s="26" t="n"/>
      <c r="BA75" s="26" t="n"/>
      <c r="BB75" s="26" t="n"/>
      <c r="BC75" s="26" t="n"/>
      <c r="BD75" s="26" t="n"/>
      <c r="BE75" s="26" t="n"/>
      <c r="BF75" s="26" t="n"/>
      <c r="BG75" s="26" t="n"/>
      <c r="BH75" s="26" t="n"/>
      <c r="BI75" s="26" t="n"/>
      <c r="BJ75" s="26" t="n"/>
      <c r="BK75" s="26" t="n"/>
      <c r="BL75" s="27" t="n"/>
      <c r="BM75" s="28" t="n"/>
      <c r="BN75" s="28" t="n"/>
      <c r="BO75" s="28" t="n"/>
      <c r="BP75" s="28" t="n"/>
      <c r="BQ75" s="28" t="n"/>
      <c r="BR75" s="28" t="n"/>
      <c r="BS75" s="28" t="n"/>
    </row>
    <row r="76" ht="20" customHeight="1">
      <c r="A76" s="29" t="inlineStr">
        <is>
          <t>实际</t>
        </is>
      </c>
      <c r="B76" s="29" t="inlineStr">
        <is>
          <t>第二期</t>
        </is>
      </c>
      <c r="C76" s="30" t="inlineStr">
        <is>
          <t>PAB180·单级样机</t>
        </is>
      </c>
      <c r="D76" s="31">
        <f>'时间节点计划表'!E38</f>
        <v/>
      </c>
      <c r="E76" s="31">
        <f>IF(COUNT('时间节点计划表'!F38),'时间节点计划表'!F38,"")</f>
        <v/>
      </c>
      <c r="F76" s="32">
        <f>IF(OR(D76="",E76=""),"待填",E76-D76)</f>
        <v/>
      </c>
      <c r="G76" s="23">
        <f>IF(AND(COUNT($E76),N(G$2)=N($E76)),$E76,IF(AND(COUNT($E76),N(G$2)&gt;=N($G$2),N(G$2)&lt;N($E76))," ",""))</f>
        <v/>
      </c>
      <c r="H76" s="23">
        <f>IF(AND(COUNT($E76),N(H$2)=N($E76)),$E76,IF(AND(COUNT($E76),N(H$2)&gt;=N($G$2),N(H$2)&lt;N($E76))," ",""))</f>
        <v/>
      </c>
      <c r="I76" s="23">
        <f>IF(AND(COUNT($E76),N(I$2)=N($E76)),$E76,IF(AND(COUNT($E76),N(I$2)&gt;=N($G$2),N(I$2)&lt;N($E76))," ",""))</f>
        <v/>
      </c>
      <c r="J76" s="23">
        <f>IF(AND(COUNT($E76),N(J$2)=N($E76)),$E76,IF(AND(COUNT($E76),N(J$2)&gt;=N($G$2),N(J$2)&lt;N($E76))," ",""))</f>
        <v/>
      </c>
      <c r="K76" s="23">
        <f>IF(AND(COUNT($E76),N(K$2)=N($E76)),$E76,IF(AND(COUNT($E76),N(K$2)&gt;=N($G$2),N(K$2)&lt;N($E76))," ",""))</f>
        <v/>
      </c>
      <c r="L76" s="23">
        <f>IF(AND(COUNT($E76),N(L$2)=N($E76)),$E76,IF(AND(COUNT($E76),N(L$2)&gt;=N($G$2),N(L$2)&lt;N($E76))," ",""))</f>
        <v/>
      </c>
      <c r="M76" s="23">
        <f>IF(AND(COUNT($E76),N(M$2)=N($E76)),$E76,IF(AND(COUNT($E76),N(M$2)&gt;=N($G$2),N(M$2)&lt;N($E76))," ",""))</f>
        <v/>
      </c>
      <c r="N76" s="23">
        <f>IF(AND(COUNT($E76),N(N$2)=N($E76)),$E76,IF(AND(COUNT($E76),N(N$2)&gt;=N($G$2),N(N$2)&lt;N($E76))," ",""))</f>
        <v/>
      </c>
      <c r="O76" s="23">
        <f>IF(AND(COUNT($E76),N(O$2)=N($E76)),$E76,IF(AND(COUNT($E76),N(O$2)&gt;=N($G$2),N(O$2)&lt;N($E76))," ",""))</f>
        <v/>
      </c>
      <c r="P76" s="23">
        <f>IF(AND(COUNT($E76),N(P$2)=N($E76)),$E76,IF(AND(COUNT($E76),N(P$2)&gt;=N($G$2),N(P$2)&lt;N($E76))," ",""))</f>
        <v/>
      </c>
      <c r="Q76" s="23">
        <f>IF(AND(COUNT($E76),N(Q$2)=N($E76)),$E76,IF(AND(COUNT($E76),N(Q$2)&gt;=N($G$2),N(Q$2)&lt;N($E76))," ",""))</f>
        <v/>
      </c>
      <c r="R76" s="23">
        <f>IF(AND(COUNT($E76),N(R$2)=N($E76)),$E76,IF(AND(COUNT($E76),N(R$2)&gt;=N($G$2),N(R$2)&lt;N($E76))," ",""))</f>
        <v/>
      </c>
      <c r="S76" s="23">
        <f>IF(AND(COUNT($E76),N(S$2)=N($E76)),$E76,IF(AND(COUNT($E76),N(S$2)&gt;=N($G$2),N(S$2)&lt;N($E76))," ",""))</f>
        <v/>
      </c>
      <c r="T76" s="23">
        <f>IF(AND(COUNT($E76),N(T$2)=N($E76)),$E76,IF(AND(COUNT($E76),N(T$2)&gt;=N($G$2),N(T$2)&lt;N($E76))," ",""))</f>
        <v/>
      </c>
      <c r="U76" s="23">
        <f>IF(AND(COUNT($E76),N(U$2)=N($E76)),$E76,IF(AND(COUNT($E76),N(U$2)&gt;=N($G$2),N(U$2)&lt;N($E76))," ",""))</f>
        <v/>
      </c>
      <c r="V76" s="23">
        <f>IF(AND(COUNT($E76),N(V$2)=N($E76)),$E76,IF(AND(COUNT($E76),N(V$2)&gt;=N($G$2),N(V$2)&lt;N($E76))," ",""))</f>
        <v/>
      </c>
      <c r="W76" s="23">
        <f>IF(AND(COUNT($E76),N(W$2)=N($E76)),$E76,IF(AND(COUNT($E76),N(W$2)&gt;=N($G$2),N(W$2)&lt;N($E76))," ",""))</f>
        <v/>
      </c>
      <c r="X76" s="23">
        <f>IF(AND(COUNT($E76),N(X$2)=N($E76)),$E76,IF(AND(COUNT($E76),N(X$2)&gt;=N($G$2),N(X$2)&lt;N($E76))," ",""))</f>
        <v/>
      </c>
      <c r="Y76" s="23">
        <f>IF(AND(COUNT($E76),N(Y$2)=N($E76)),$E76,IF(AND(COUNT($E76),N(Y$2)&gt;=N($G$2),N(Y$2)&lt;N($E76))," ",""))</f>
        <v/>
      </c>
      <c r="Z76" s="23">
        <f>IF(AND(COUNT($E76),N(Z$2)=N($E76)),$E76,IF(AND(COUNT($E76),N(Z$2)&gt;=N($G$2),N(Z$2)&lt;N($E76))," ",""))</f>
        <v/>
      </c>
      <c r="AA76" s="23">
        <f>IF(AND(COUNT($E76),N(AA$2)=N($E76)),$E76,IF(AND(COUNT($E76),N(AA$2)&gt;=N($G$2),N(AA$2)&lt;N($E76))," ",""))</f>
        <v/>
      </c>
      <c r="AB76" s="23">
        <f>IF(AND(COUNT($E76),N(AB$2)=N($E76)),$E76,IF(AND(COUNT($E76),N(AB$2)&gt;=N($G$2),N(AB$2)&lt;N($E76))," ",""))</f>
        <v/>
      </c>
      <c r="AC76" s="23">
        <f>IF(AND(COUNT($E76),N(AC$2)=N($E76)),$E76,IF(AND(COUNT($E76),N(AC$2)&gt;=N($G$2),N(AC$2)&lt;N($E76))," ",""))</f>
        <v/>
      </c>
      <c r="AD76" s="23">
        <f>IF(AND(COUNT($E76),N(AD$2)=N($E76)),$E76,IF(AND(COUNT($E76),N(AD$2)&gt;=N($G$2),N(AD$2)&lt;N($E76))," ",""))</f>
        <v/>
      </c>
      <c r="AE76" s="23">
        <f>IF(AND(COUNT($E76),N(AE$2)=N($E76)),$E76,IF(AND(COUNT($E76),N(AE$2)&gt;=N($G$2),N(AE$2)&lt;N($E76))," ",""))</f>
        <v/>
      </c>
      <c r="AF76" s="23">
        <f>IF(AND(COUNT($E76),N(AF$2)=N($E76)),$E76,IF(AND(COUNT($E76),N(AF$2)&gt;=N($G$2),N(AF$2)&lt;N($E76))," ",""))</f>
        <v/>
      </c>
      <c r="AG76" s="23">
        <f>IF(AND(COUNT($E76),N(AG$2)=N($E76)),$E76,IF(AND(COUNT($E76),N(AG$2)&gt;=N($G$2),N(AG$2)&lt;N($E76))," ",""))</f>
        <v/>
      </c>
      <c r="AH76" s="23">
        <f>IF(AND(COUNT($E76),N(AH$2)=N($E76)),$E76,IF(AND(COUNT($E76),N(AH$2)&gt;=N($G$2),N(AH$2)&lt;N($E76))," ",""))</f>
        <v/>
      </c>
      <c r="AI76" s="23">
        <f>IF(AND(COUNT($E76),N(AI$2)=N($E76)),$E76,IF(AND(COUNT($E76),N(AI$2)&gt;=N($G$2),N(AI$2)&lt;N($E76))," ",""))</f>
        <v/>
      </c>
      <c r="AJ76" s="23">
        <f>IF(AND(COUNT($E76),N(AJ$2)=N($E76)),$E76,IF(AND(COUNT($E76),N(AJ$2)&gt;=N($G$2),N(AJ$2)&lt;N($E76))," ",""))</f>
        <v/>
      </c>
      <c r="AK76" s="23">
        <f>IF(AND(COUNT($E76),N(AK$2)=N($E76)),$E76,IF(AND(COUNT($E76),N(AK$2)&gt;=N($G$2),N(AK$2)&lt;N($E76))," ",""))</f>
        <v/>
      </c>
      <c r="AL76" s="23">
        <f>IF(AND(COUNT($E76),N(AL$2)=N($E76)),$E76,IF(AND(COUNT($E76),N(AL$2)&gt;=N($G$2),N(AL$2)&lt;N($E76))," ",""))</f>
        <v/>
      </c>
      <c r="AM76" s="23">
        <f>IF(AND(COUNT($E76),N(AM$2)=N($E76)),$E76,IF(AND(COUNT($E76),N(AM$2)&gt;=N($G$2),N(AM$2)&lt;N($E76))," ",""))</f>
        <v/>
      </c>
      <c r="AN76" s="23">
        <f>IF(AND(COUNT($E76),N(AN$2)=N($E76)),$E76,IF(AND(COUNT($E76),N(AN$2)&gt;=N($G$2),N(AN$2)&lt;N($E76))," ",""))</f>
        <v/>
      </c>
      <c r="AO76" s="23">
        <f>IF(AND(COUNT($E76),N(AO$2)=N($E76)),$E76,IF(AND(COUNT($E76),N(AO$2)&gt;=N($G$2),N(AO$2)&lt;N($E76))," ",""))</f>
        <v/>
      </c>
      <c r="AP76" s="23">
        <f>IF(AND(COUNT($E76),N(AP$2)=N($E76)),$E76,IF(AND(COUNT($E76),N(AP$2)&gt;=N($G$2),N(AP$2)&lt;N($E76))," ",""))</f>
        <v/>
      </c>
      <c r="AQ76" s="23">
        <f>IF(AND(COUNT($E76),N(AQ$2)=N($E76)),$E76,IF(AND(COUNT($E76),N(AQ$2)&gt;=N($G$2),N(AQ$2)&lt;N($E76))," ",""))</f>
        <v/>
      </c>
      <c r="AR76" s="23">
        <f>IF(AND(COUNT($E76),N(AR$2)=N($E76)),$E76,IF(AND(COUNT($E76),N(AR$2)&gt;=N($G$2),N(AR$2)&lt;N($E76))," ",""))</f>
        <v/>
      </c>
      <c r="AS76" s="23">
        <f>IF(AND(COUNT($E76),N(AS$2)=N($E76)),$E76,IF(AND(COUNT($E76),N(AS$2)&gt;=N($G$2),N(AS$2)&lt;N($E76))," ",""))</f>
        <v/>
      </c>
      <c r="AT76" s="23">
        <f>IF(AND(COUNT($E76),N(AT$2)=N($E76)),$E76,IF(AND(COUNT($E76),N(AT$2)&gt;=N($G$2),N(AT$2)&lt;N($E76))," ",""))</f>
        <v/>
      </c>
      <c r="AU76" s="23">
        <f>IF(AND(COUNT($E76),N(AU$2)=N($E76)),$E76,IF(AND(COUNT($E76),N(AU$2)&gt;=N($G$2),N(AU$2)&lt;N($E76))," ",""))</f>
        <v/>
      </c>
      <c r="AV76" s="23">
        <f>IF(AND(COUNT($E76),N(AV$2)=N($E76)),$E76,IF(AND(COUNT($E76),N(AV$2)&gt;=N($G$2),N(AV$2)&lt;N($E76))," ",""))</f>
        <v/>
      </c>
      <c r="AW76" s="23">
        <f>IF(AND(COUNT($E76),N(AW$2)=N($E76)),$E76,IF(AND(COUNT($E76),N(AW$2)&gt;=N($G$2),N(AW$2)&lt;N($E76))," ",""))</f>
        <v/>
      </c>
      <c r="AX76" s="23">
        <f>IF(AND(COUNT($E76),N(AX$2)=N($E76)),$E76,IF(AND(COUNT($E76),N(AX$2)&gt;=N($G$2),N(AX$2)&lt;N($E76))," ",""))</f>
        <v/>
      </c>
      <c r="AY76" s="23">
        <f>IF(AND(COUNT($E76),N(AY$2)=N($E76)),$E76,IF(AND(COUNT($E76),N(AY$2)&gt;=N($G$2),N(AY$2)&lt;N($E76))," ",""))</f>
        <v/>
      </c>
      <c r="AZ76" s="23">
        <f>IF(AND(COUNT($E76),N(AZ$2)=N($E76)),$E76,IF(AND(COUNT($E76),N(AZ$2)&gt;=N($G$2),N(AZ$2)&lt;N($E76))," ",""))</f>
        <v/>
      </c>
      <c r="BA76" s="23">
        <f>IF(AND(COUNT($E76),N(BA$2)=N($E76)),$E76,IF(AND(COUNT($E76),N(BA$2)&gt;=N($G$2),N(BA$2)&lt;N($E76))," ",""))</f>
        <v/>
      </c>
      <c r="BB76" s="23">
        <f>IF(AND(COUNT($E76),N(BB$2)=N($E76)),$E76,IF(AND(COUNT($E76),N(BB$2)&gt;=N($G$2),N(BB$2)&lt;N($E76))," ",""))</f>
        <v/>
      </c>
      <c r="BC76" s="23">
        <f>IF(AND(COUNT($E76),N(BC$2)=N($E76)),$E76,IF(AND(COUNT($E76),N(BC$2)&gt;=N($G$2),N(BC$2)&lt;N($E76))," ",""))</f>
        <v/>
      </c>
      <c r="BD76" s="23">
        <f>IF(AND(COUNT($E76),N(BD$2)=N($E76)),$E76,IF(AND(COUNT($E76),N(BD$2)&gt;=N($G$2),N(BD$2)&lt;N($E76))," ",""))</f>
        <v/>
      </c>
      <c r="BE76" s="23">
        <f>IF(AND(COUNT($E76),N(BE$2)=N($E76)),$E76,IF(AND(COUNT($E76),N(BE$2)&gt;=N($G$2),N(BE$2)&lt;N($E76))," ",""))</f>
        <v/>
      </c>
      <c r="BF76" s="23">
        <f>IF(AND(COUNT($E76),N(BF$2)=N($E76)),$E76,IF(AND(COUNT($E76),N(BF$2)&gt;=N($G$2),N(BF$2)&lt;N($E76))," ",""))</f>
        <v/>
      </c>
      <c r="BG76" s="23">
        <f>IF(AND(COUNT($E76),N(BG$2)=N($E76)),$E76,IF(AND(COUNT($E76),N(BG$2)&gt;=N($G$2),N(BG$2)&lt;N($E76))," ",""))</f>
        <v/>
      </c>
      <c r="BH76" s="23">
        <f>IF(AND(COUNT($E76),N(BH$2)=N($E76)),$E76,IF(AND(COUNT($E76),N(BH$2)&gt;=N($G$2),N(BH$2)&lt;N($E76))," ",""))</f>
        <v/>
      </c>
      <c r="BI76" s="23">
        <f>IF(AND(COUNT($E76),N(BI$2)=N($E76)),$E76,IF(AND(COUNT($E76),N(BI$2)&gt;=N($G$2),N(BI$2)&lt;N($E76))," ",""))</f>
        <v/>
      </c>
      <c r="BJ76" s="23">
        <f>IF(AND(COUNT($E76),N(BJ$2)=N($E76)),$E76,IF(AND(COUNT($E76),N(BJ$2)&gt;=N($G$2),N(BJ$2)&lt;N($E76))," ",""))</f>
        <v/>
      </c>
      <c r="BK76" s="23">
        <f>IF(AND(COUNT($E76),N(BK$2)=N($E76)),$E76,IF(AND(COUNT($E76),N(BK$2)&gt;=N($G$2),N(BK$2)&lt;N($E76))," ",""))</f>
        <v/>
      </c>
      <c r="BL76" s="23">
        <f>IF(AND(COUNT($E76),N(BL$2)=N($E76)),$E76,IF(AND(COUNT($E76),N(BL$2)&gt;=N($G$2),N(BL$2)&lt;N($E76))," ",""))</f>
        <v/>
      </c>
      <c r="BM76" s="23">
        <f>IF(AND(COUNT($E76),N(BM$2)=N($E76)),$E76,IF(AND(COUNT($E76),N(BM$2)&gt;=N($G$2),N(BM$2)&lt;N($E76))," ",""))</f>
        <v/>
      </c>
      <c r="BN76" s="23">
        <f>IF(AND(COUNT($E76),N(BN$2)=N($E76)),$E76,IF(AND(COUNT($E76),N(BN$2)&gt;=N($G$2),N(BN$2)&lt;N($E76))," ",""))</f>
        <v/>
      </c>
      <c r="BO76" s="23">
        <f>IF(AND(COUNT($E76),N(BO$2)=N($E76)),$E76,IF(AND(COUNT($E76),N(BO$2)&gt;=N($G$2),N(BO$2)&lt;N($E76))," ",""))</f>
        <v/>
      </c>
      <c r="BP76" s="23">
        <f>IF(AND(COUNT($E76),N(BP$2)=N($E76)),$E76,IF(AND(COUNT($E76),N(BP$2)&gt;=N($G$2),N(BP$2)&lt;N($E76))," ",""))</f>
        <v/>
      </c>
      <c r="BQ76" s="23">
        <f>IF(AND(COUNT($E76),N(BQ$2)=N($E76)),$E76,IF(AND(COUNT($E76),N(BQ$2)&gt;=N($G$2),N(BQ$2)&lt;N($E76))," ",""))</f>
        <v/>
      </c>
      <c r="BR76" s="23">
        <f>IF(AND(COUNT($E76),N(BR$2)=N($E76)),$E76,IF(AND(COUNT($E76),N(BR$2)&gt;=N($G$2),N(BR$2)&lt;N($E76))," ",""))</f>
        <v/>
      </c>
      <c r="BS76" s="23">
        <f>IF(AND(COUNT($E76),N(BS$2)=N($E76)),$E76,IF(AND(COUNT($E76),N(BS$2)&gt;=N($G$2),N(BS$2)&lt;N($E76))," ",""))</f>
        <v/>
      </c>
    </row>
    <row r="77" ht="20" customHeight="1">
      <c r="A77" s="21" t="inlineStr">
        <is>
          <t>预估</t>
        </is>
      </c>
      <c r="B77" s="21" t="inlineStr">
        <is>
          <t>第二期</t>
        </is>
      </c>
      <c r="C77" s="22" t="inlineStr">
        <is>
          <t>PAB180·双级样机</t>
        </is>
      </c>
      <c r="D77" s="23">
        <f>'时间节点计划表'!E39</f>
        <v/>
      </c>
      <c r="E77" s="23">
        <f>IF(COUNT('时间节点计划表'!F39),'时间节点计划表'!F39,"")</f>
        <v/>
      </c>
      <c r="F77" s="24" t="inlineStr"/>
      <c r="G77" s="25">
        <f>D77</f>
        <v/>
      </c>
      <c r="H77" s="26" t="n"/>
      <c r="I77" s="26" t="n"/>
      <c r="J77" s="26" t="n"/>
      <c r="K77" s="26" t="n"/>
      <c r="L77" s="26" t="n"/>
      <c r="M77" s="26" t="n"/>
      <c r="N77" s="26" t="n"/>
      <c r="O77" s="26" t="n"/>
      <c r="P77" s="26" t="n"/>
      <c r="Q77" s="26" t="n"/>
      <c r="R77" s="26" t="n"/>
      <c r="S77" s="26" t="n"/>
      <c r="T77" s="26" t="n"/>
      <c r="U77" s="26" t="n"/>
      <c r="V77" s="26" t="n"/>
      <c r="W77" s="26" t="n"/>
      <c r="X77" s="26" t="n"/>
      <c r="Y77" s="26" t="n"/>
      <c r="Z77" s="26" t="n"/>
      <c r="AA77" s="26" t="n"/>
      <c r="AB77" s="26" t="n"/>
      <c r="AC77" s="26" t="n"/>
      <c r="AD77" s="26" t="n"/>
      <c r="AE77" s="26" t="n"/>
      <c r="AF77" s="26" t="n"/>
      <c r="AG77" s="26" t="n"/>
      <c r="AH77" s="26" t="n"/>
      <c r="AI77" s="26" t="n"/>
      <c r="AJ77" s="26" t="n"/>
      <c r="AK77" s="26" t="n"/>
      <c r="AL77" s="26" t="n"/>
      <c r="AM77" s="26" t="n"/>
      <c r="AN77" s="26" t="n"/>
      <c r="AO77" s="26" t="n"/>
      <c r="AP77" s="26" t="n"/>
      <c r="AQ77" s="26" t="n"/>
      <c r="AR77" s="26" t="n"/>
      <c r="AS77" s="26" t="n"/>
      <c r="AT77" s="26" t="n"/>
      <c r="AU77" s="26" t="n"/>
      <c r="AV77" s="26" t="n"/>
      <c r="AW77" s="26" t="n"/>
      <c r="AX77" s="26" t="n"/>
      <c r="AY77" s="26" t="n"/>
      <c r="AZ77" s="26" t="n"/>
      <c r="BA77" s="26" t="n"/>
      <c r="BB77" s="26" t="n"/>
      <c r="BC77" s="26" t="n"/>
      <c r="BD77" s="26" t="n"/>
      <c r="BE77" s="26" t="n"/>
      <c r="BF77" s="26" t="n"/>
      <c r="BG77" s="26" t="n"/>
      <c r="BH77" s="26" t="n"/>
      <c r="BI77" s="26" t="n"/>
      <c r="BJ77" s="26" t="n"/>
      <c r="BK77" s="26" t="n"/>
      <c r="BL77" s="26" t="n"/>
      <c r="BM77" s="26" t="n"/>
      <c r="BN77" s="26" t="n"/>
      <c r="BO77" s="27" t="n"/>
      <c r="BP77" s="28" t="n"/>
      <c r="BQ77" s="28" t="n"/>
      <c r="BR77" s="28" t="n"/>
      <c r="BS77" s="28" t="n"/>
    </row>
    <row r="78" ht="20" customHeight="1">
      <c r="A78" s="29" t="inlineStr">
        <is>
          <t>实际</t>
        </is>
      </c>
      <c r="B78" s="29" t="inlineStr">
        <is>
          <t>第二期</t>
        </is>
      </c>
      <c r="C78" s="30" t="inlineStr">
        <is>
          <t>PAB180·双级样机</t>
        </is>
      </c>
      <c r="D78" s="31">
        <f>'时间节点计划表'!E39</f>
        <v/>
      </c>
      <c r="E78" s="31">
        <f>IF(COUNT('时间节点计划表'!F39),'时间节点计划表'!F39,"")</f>
        <v/>
      </c>
      <c r="F78" s="32">
        <f>IF(OR(D78="",E78=""),"待填",E78-D78)</f>
        <v/>
      </c>
      <c r="G78" s="23">
        <f>IF(AND(COUNT($E78),N(G$2)=N($E78)),$E78,IF(AND(COUNT($E78),N(G$2)&gt;=N($G$2),N(G$2)&lt;N($E78))," ",""))</f>
        <v/>
      </c>
      <c r="H78" s="23">
        <f>IF(AND(COUNT($E78),N(H$2)=N($E78)),$E78,IF(AND(COUNT($E78),N(H$2)&gt;=N($G$2),N(H$2)&lt;N($E78))," ",""))</f>
        <v/>
      </c>
      <c r="I78" s="23">
        <f>IF(AND(COUNT($E78),N(I$2)=N($E78)),$E78,IF(AND(COUNT($E78),N(I$2)&gt;=N($G$2),N(I$2)&lt;N($E78))," ",""))</f>
        <v/>
      </c>
      <c r="J78" s="23">
        <f>IF(AND(COUNT($E78),N(J$2)=N($E78)),$E78,IF(AND(COUNT($E78),N(J$2)&gt;=N($G$2),N(J$2)&lt;N($E78))," ",""))</f>
        <v/>
      </c>
      <c r="K78" s="23">
        <f>IF(AND(COUNT($E78),N(K$2)=N($E78)),$E78,IF(AND(COUNT($E78),N(K$2)&gt;=N($G$2),N(K$2)&lt;N($E78))," ",""))</f>
        <v/>
      </c>
      <c r="L78" s="23">
        <f>IF(AND(COUNT($E78),N(L$2)=N($E78)),$E78,IF(AND(COUNT($E78),N(L$2)&gt;=N($G$2),N(L$2)&lt;N($E78))," ",""))</f>
        <v/>
      </c>
      <c r="M78" s="23">
        <f>IF(AND(COUNT($E78),N(M$2)=N($E78)),$E78,IF(AND(COUNT($E78),N(M$2)&gt;=N($G$2),N(M$2)&lt;N($E78))," ",""))</f>
        <v/>
      </c>
      <c r="N78" s="23">
        <f>IF(AND(COUNT($E78),N(N$2)=N($E78)),$E78,IF(AND(COUNT($E78),N(N$2)&gt;=N($G$2),N(N$2)&lt;N($E78))," ",""))</f>
        <v/>
      </c>
      <c r="O78" s="23">
        <f>IF(AND(COUNT($E78),N(O$2)=N($E78)),$E78,IF(AND(COUNT($E78),N(O$2)&gt;=N($G$2),N(O$2)&lt;N($E78))," ",""))</f>
        <v/>
      </c>
      <c r="P78" s="23">
        <f>IF(AND(COUNT($E78),N(P$2)=N($E78)),$E78,IF(AND(COUNT($E78),N(P$2)&gt;=N($G$2),N(P$2)&lt;N($E78))," ",""))</f>
        <v/>
      </c>
      <c r="Q78" s="23">
        <f>IF(AND(COUNT($E78),N(Q$2)=N($E78)),$E78,IF(AND(COUNT($E78),N(Q$2)&gt;=N($G$2),N(Q$2)&lt;N($E78))," ",""))</f>
        <v/>
      </c>
      <c r="R78" s="23">
        <f>IF(AND(COUNT($E78),N(R$2)=N($E78)),$E78,IF(AND(COUNT($E78),N(R$2)&gt;=N($G$2),N(R$2)&lt;N($E78))," ",""))</f>
        <v/>
      </c>
      <c r="S78" s="23">
        <f>IF(AND(COUNT($E78),N(S$2)=N($E78)),$E78,IF(AND(COUNT($E78),N(S$2)&gt;=N($G$2),N(S$2)&lt;N($E78))," ",""))</f>
        <v/>
      </c>
      <c r="T78" s="23">
        <f>IF(AND(COUNT($E78),N(T$2)=N($E78)),$E78,IF(AND(COUNT($E78),N(T$2)&gt;=N($G$2),N(T$2)&lt;N($E78))," ",""))</f>
        <v/>
      </c>
      <c r="U78" s="23">
        <f>IF(AND(COUNT($E78),N(U$2)=N($E78)),$E78,IF(AND(COUNT($E78),N(U$2)&gt;=N($G$2),N(U$2)&lt;N($E78))," ",""))</f>
        <v/>
      </c>
      <c r="V78" s="23">
        <f>IF(AND(COUNT($E78),N(V$2)=N($E78)),$E78,IF(AND(COUNT($E78),N(V$2)&gt;=N($G$2),N(V$2)&lt;N($E78))," ",""))</f>
        <v/>
      </c>
      <c r="W78" s="23">
        <f>IF(AND(COUNT($E78),N(W$2)=N($E78)),$E78,IF(AND(COUNT($E78),N(W$2)&gt;=N($G$2),N(W$2)&lt;N($E78))," ",""))</f>
        <v/>
      </c>
      <c r="X78" s="23">
        <f>IF(AND(COUNT($E78),N(X$2)=N($E78)),$E78,IF(AND(COUNT($E78),N(X$2)&gt;=N($G$2),N(X$2)&lt;N($E78))," ",""))</f>
        <v/>
      </c>
      <c r="Y78" s="23">
        <f>IF(AND(COUNT($E78),N(Y$2)=N($E78)),$E78,IF(AND(COUNT($E78),N(Y$2)&gt;=N($G$2),N(Y$2)&lt;N($E78))," ",""))</f>
        <v/>
      </c>
      <c r="Z78" s="23">
        <f>IF(AND(COUNT($E78),N(Z$2)=N($E78)),$E78,IF(AND(COUNT($E78),N(Z$2)&gt;=N($G$2),N(Z$2)&lt;N($E78))," ",""))</f>
        <v/>
      </c>
      <c r="AA78" s="23">
        <f>IF(AND(COUNT($E78),N(AA$2)=N($E78)),$E78,IF(AND(COUNT($E78),N(AA$2)&gt;=N($G$2),N(AA$2)&lt;N($E78))," ",""))</f>
        <v/>
      </c>
      <c r="AB78" s="23">
        <f>IF(AND(COUNT($E78),N(AB$2)=N($E78)),$E78,IF(AND(COUNT($E78),N(AB$2)&gt;=N($G$2),N(AB$2)&lt;N($E78))," ",""))</f>
        <v/>
      </c>
      <c r="AC78" s="23">
        <f>IF(AND(COUNT($E78),N(AC$2)=N($E78)),$E78,IF(AND(COUNT($E78),N(AC$2)&gt;=N($G$2),N(AC$2)&lt;N($E78))," ",""))</f>
        <v/>
      </c>
      <c r="AD78" s="23">
        <f>IF(AND(COUNT($E78),N(AD$2)=N($E78)),$E78,IF(AND(COUNT($E78),N(AD$2)&gt;=N($G$2),N(AD$2)&lt;N($E78))," ",""))</f>
        <v/>
      </c>
      <c r="AE78" s="23">
        <f>IF(AND(COUNT($E78),N(AE$2)=N($E78)),$E78,IF(AND(COUNT($E78),N(AE$2)&gt;=N($G$2),N(AE$2)&lt;N($E78))," ",""))</f>
        <v/>
      </c>
      <c r="AF78" s="23">
        <f>IF(AND(COUNT($E78),N(AF$2)=N($E78)),$E78,IF(AND(COUNT($E78),N(AF$2)&gt;=N($G$2),N(AF$2)&lt;N($E78))," ",""))</f>
        <v/>
      </c>
      <c r="AG78" s="23">
        <f>IF(AND(COUNT($E78),N(AG$2)=N($E78)),$E78,IF(AND(COUNT($E78),N(AG$2)&gt;=N($G$2),N(AG$2)&lt;N($E78))," ",""))</f>
        <v/>
      </c>
      <c r="AH78" s="23">
        <f>IF(AND(COUNT($E78),N(AH$2)=N($E78)),$E78,IF(AND(COUNT($E78),N(AH$2)&gt;=N($G$2),N(AH$2)&lt;N($E78))," ",""))</f>
        <v/>
      </c>
      <c r="AI78" s="23">
        <f>IF(AND(COUNT($E78),N(AI$2)=N($E78)),$E78,IF(AND(COUNT($E78),N(AI$2)&gt;=N($G$2),N(AI$2)&lt;N($E78))," ",""))</f>
        <v/>
      </c>
      <c r="AJ78" s="23">
        <f>IF(AND(COUNT($E78),N(AJ$2)=N($E78)),$E78,IF(AND(COUNT($E78),N(AJ$2)&gt;=N($G$2),N(AJ$2)&lt;N($E78))," ",""))</f>
        <v/>
      </c>
      <c r="AK78" s="23">
        <f>IF(AND(COUNT($E78),N(AK$2)=N($E78)),$E78,IF(AND(COUNT($E78),N(AK$2)&gt;=N($G$2),N(AK$2)&lt;N($E78))," ",""))</f>
        <v/>
      </c>
      <c r="AL78" s="23">
        <f>IF(AND(COUNT($E78),N(AL$2)=N($E78)),$E78,IF(AND(COUNT($E78),N(AL$2)&gt;=N($G$2),N(AL$2)&lt;N($E78))," ",""))</f>
        <v/>
      </c>
      <c r="AM78" s="23">
        <f>IF(AND(COUNT($E78),N(AM$2)=N($E78)),$E78,IF(AND(COUNT($E78),N(AM$2)&gt;=N($G$2),N(AM$2)&lt;N($E78))," ",""))</f>
        <v/>
      </c>
      <c r="AN78" s="23">
        <f>IF(AND(COUNT($E78),N(AN$2)=N($E78)),$E78,IF(AND(COUNT($E78),N(AN$2)&gt;=N($G$2),N(AN$2)&lt;N($E78))," ",""))</f>
        <v/>
      </c>
      <c r="AO78" s="23">
        <f>IF(AND(COUNT($E78),N(AO$2)=N($E78)),$E78,IF(AND(COUNT($E78),N(AO$2)&gt;=N($G$2),N(AO$2)&lt;N($E78))," ",""))</f>
        <v/>
      </c>
      <c r="AP78" s="23">
        <f>IF(AND(COUNT($E78),N(AP$2)=N($E78)),$E78,IF(AND(COUNT($E78),N(AP$2)&gt;=N($G$2),N(AP$2)&lt;N($E78))," ",""))</f>
        <v/>
      </c>
      <c r="AQ78" s="23">
        <f>IF(AND(COUNT($E78),N(AQ$2)=N($E78)),$E78,IF(AND(COUNT($E78),N(AQ$2)&gt;=N($G$2),N(AQ$2)&lt;N($E78))," ",""))</f>
        <v/>
      </c>
      <c r="AR78" s="23">
        <f>IF(AND(COUNT($E78),N(AR$2)=N($E78)),$E78,IF(AND(COUNT($E78),N(AR$2)&gt;=N($G$2),N(AR$2)&lt;N($E78))," ",""))</f>
        <v/>
      </c>
      <c r="AS78" s="23">
        <f>IF(AND(COUNT($E78),N(AS$2)=N($E78)),$E78,IF(AND(COUNT($E78),N(AS$2)&gt;=N($G$2),N(AS$2)&lt;N($E78))," ",""))</f>
        <v/>
      </c>
      <c r="AT78" s="23">
        <f>IF(AND(COUNT($E78),N(AT$2)=N($E78)),$E78,IF(AND(COUNT($E78),N(AT$2)&gt;=N($G$2),N(AT$2)&lt;N($E78))," ",""))</f>
        <v/>
      </c>
      <c r="AU78" s="23">
        <f>IF(AND(COUNT($E78),N(AU$2)=N($E78)),$E78,IF(AND(COUNT($E78),N(AU$2)&gt;=N($G$2),N(AU$2)&lt;N($E78))," ",""))</f>
        <v/>
      </c>
      <c r="AV78" s="23">
        <f>IF(AND(COUNT($E78),N(AV$2)=N($E78)),$E78,IF(AND(COUNT($E78),N(AV$2)&gt;=N($G$2),N(AV$2)&lt;N($E78))," ",""))</f>
        <v/>
      </c>
      <c r="AW78" s="23">
        <f>IF(AND(COUNT($E78),N(AW$2)=N($E78)),$E78,IF(AND(COUNT($E78),N(AW$2)&gt;=N($G$2),N(AW$2)&lt;N($E78))," ",""))</f>
        <v/>
      </c>
      <c r="AX78" s="23">
        <f>IF(AND(COUNT($E78),N(AX$2)=N($E78)),$E78,IF(AND(COUNT($E78),N(AX$2)&gt;=N($G$2),N(AX$2)&lt;N($E78))," ",""))</f>
        <v/>
      </c>
      <c r="AY78" s="23">
        <f>IF(AND(COUNT($E78),N(AY$2)=N($E78)),$E78,IF(AND(COUNT($E78),N(AY$2)&gt;=N($G$2),N(AY$2)&lt;N($E78))," ",""))</f>
        <v/>
      </c>
      <c r="AZ78" s="23">
        <f>IF(AND(COUNT($E78),N(AZ$2)=N($E78)),$E78,IF(AND(COUNT($E78),N(AZ$2)&gt;=N($G$2),N(AZ$2)&lt;N($E78))," ",""))</f>
        <v/>
      </c>
      <c r="BA78" s="23">
        <f>IF(AND(COUNT($E78),N(BA$2)=N($E78)),$E78,IF(AND(COUNT($E78),N(BA$2)&gt;=N($G$2),N(BA$2)&lt;N($E78))," ",""))</f>
        <v/>
      </c>
      <c r="BB78" s="23">
        <f>IF(AND(COUNT($E78),N(BB$2)=N($E78)),$E78,IF(AND(COUNT($E78),N(BB$2)&gt;=N($G$2),N(BB$2)&lt;N($E78))," ",""))</f>
        <v/>
      </c>
      <c r="BC78" s="23">
        <f>IF(AND(COUNT($E78),N(BC$2)=N($E78)),$E78,IF(AND(COUNT($E78),N(BC$2)&gt;=N($G$2),N(BC$2)&lt;N($E78))," ",""))</f>
        <v/>
      </c>
      <c r="BD78" s="23">
        <f>IF(AND(COUNT($E78),N(BD$2)=N($E78)),$E78,IF(AND(COUNT($E78),N(BD$2)&gt;=N($G$2),N(BD$2)&lt;N($E78))," ",""))</f>
        <v/>
      </c>
      <c r="BE78" s="23">
        <f>IF(AND(COUNT($E78),N(BE$2)=N($E78)),$E78,IF(AND(COUNT($E78),N(BE$2)&gt;=N($G$2),N(BE$2)&lt;N($E78))," ",""))</f>
        <v/>
      </c>
      <c r="BF78" s="23">
        <f>IF(AND(COUNT($E78),N(BF$2)=N($E78)),$E78,IF(AND(COUNT($E78),N(BF$2)&gt;=N($G$2),N(BF$2)&lt;N($E78))," ",""))</f>
        <v/>
      </c>
      <c r="BG78" s="23">
        <f>IF(AND(COUNT($E78),N(BG$2)=N($E78)),$E78,IF(AND(COUNT($E78),N(BG$2)&gt;=N($G$2),N(BG$2)&lt;N($E78))," ",""))</f>
        <v/>
      </c>
      <c r="BH78" s="23">
        <f>IF(AND(COUNT($E78),N(BH$2)=N($E78)),$E78,IF(AND(COUNT($E78),N(BH$2)&gt;=N($G$2),N(BH$2)&lt;N($E78))," ",""))</f>
        <v/>
      </c>
      <c r="BI78" s="23">
        <f>IF(AND(COUNT($E78),N(BI$2)=N($E78)),$E78,IF(AND(COUNT($E78),N(BI$2)&gt;=N($G$2),N(BI$2)&lt;N($E78))," ",""))</f>
        <v/>
      </c>
      <c r="BJ78" s="23">
        <f>IF(AND(COUNT($E78),N(BJ$2)=N($E78)),$E78,IF(AND(COUNT($E78),N(BJ$2)&gt;=N($G$2),N(BJ$2)&lt;N($E78))," ",""))</f>
        <v/>
      </c>
      <c r="BK78" s="23">
        <f>IF(AND(COUNT($E78),N(BK$2)=N($E78)),$E78,IF(AND(COUNT($E78),N(BK$2)&gt;=N($G$2),N(BK$2)&lt;N($E78))," ",""))</f>
        <v/>
      </c>
      <c r="BL78" s="23">
        <f>IF(AND(COUNT($E78),N(BL$2)=N($E78)),$E78,IF(AND(COUNT($E78),N(BL$2)&gt;=N($G$2),N(BL$2)&lt;N($E78))," ",""))</f>
        <v/>
      </c>
      <c r="BM78" s="23">
        <f>IF(AND(COUNT($E78),N(BM$2)=N($E78)),$E78,IF(AND(COUNT($E78),N(BM$2)&gt;=N($G$2),N(BM$2)&lt;N($E78))," ",""))</f>
        <v/>
      </c>
      <c r="BN78" s="23">
        <f>IF(AND(COUNT($E78),N(BN$2)=N($E78)),$E78,IF(AND(COUNT($E78),N(BN$2)&gt;=N($G$2),N(BN$2)&lt;N($E78))," ",""))</f>
        <v/>
      </c>
      <c r="BO78" s="23">
        <f>IF(AND(COUNT($E78),N(BO$2)=N($E78)),$E78,IF(AND(COUNT($E78),N(BO$2)&gt;=N($G$2),N(BO$2)&lt;N($E78))," ",""))</f>
        <v/>
      </c>
      <c r="BP78" s="23">
        <f>IF(AND(COUNT($E78),N(BP$2)=N($E78)),$E78,IF(AND(COUNT($E78),N(BP$2)&gt;=N($G$2),N(BP$2)&lt;N($E78))," ",""))</f>
        <v/>
      </c>
      <c r="BQ78" s="23">
        <f>IF(AND(COUNT($E78),N(BQ$2)=N($E78)),$E78,IF(AND(COUNT($E78),N(BQ$2)&gt;=N($G$2),N(BQ$2)&lt;N($E78))," ",""))</f>
        <v/>
      </c>
      <c r="BR78" s="23">
        <f>IF(AND(COUNT($E78),N(BR$2)=N($E78)),$E78,IF(AND(COUNT($E78),N(BR$2)&gt;=N($G$2),N(BR$2)&lt;N($E78))," ",""))</f>
        <v/>
      </c>
      <c r="BS78" s="23">
        <f>IF(AND(COUNT($E78),N(BS$2)=N($E78)),$E78,IF(AND(COUNT($E78),N(BS$2)&gt;=N($G$2),N(BS$2)&lt;N($E78))," ",""))</f>
        <v/>
      </c>
    </row>
    <row r="79" ht="20" customHeight="1">
      <c r="A79" s="21" t="inlineStr">
        <is>
          <t>预估</t>
        </is>
      </c>
      <c r="B79" s="21" t="inlineStr">
        <is>
          <t>第二期</t>
        </is>
      </c>
      <c r="C79" s="22" t="inlineStr">
        <is>
          <t>PAB220·零件到位</t>
        </is>
      </c>
      <c r="D79" s="23">
        <f>'时间节点计划表'!E40</f>
        <v/>
      </c>
      <c r="E79" s="23">
        <f>IF(COUNT('时间节点计划表'!F40),'时间节点计划表'!F40,"")</f>
        <v/>
      </c>
      <c r="F79" s="24" t="inlineStr"/>
      <c r="G79" s="25">
        <f>D79</f>
        <v/>
      </c>
      <c r="H79" s="26" t="n"/>
      <c r="I79" s="26" t="n"/>
      <c r="J79" s="26" t="n"/>
      <c r="K79" s="26" t="n"/>
      <c r="L79" s="26" t="n"/>
      <c r="M79" s="26" t="n"/>
      <c r="N79" s="26" t="n"/>
      <c r="O79" s="26" t="n"/>
      <c r="P79" s="26" t="n"/>
      <c r="Q79" s="26" t="n"/>
      <c r="R79" s="26" t="n"/>
      <c r="S79" s="26" t="n"/>
      <c r="T79" s="26" t="n"/>
      <c r="U79" s="26" t="n"/>
      <c r="V79" s="26" t="n"/>
      <c r="W79" s="26" t="n"/>
      <c r="X79" s="26" t="n"/>
      <c r="Y79" s="26" t="n"/>
      <c r="Z79" s="26" t="n"/>
      <c r="AA79" s="26" t="n"/>
      <c r="AB79" s="26" t="n"/>
      <c r="AC79" s="26" t="n"/>
      <c r="AD79" s="26" t="n"/>
      <c r="AE79" s="26" t="n"/>
      <c r="AF79" s="26" t="n"/>
      <c r="AG79" s="26" t="n"/>
      <c r="AH79" s="26" t="n"/>
      <c r="AI79" s="26" t="n"/>
      <c r="AJ79" s="26" t="n"/>
      <c r="AK79" s="26" t="n"/>
      <c r="AL79" s="26" t="n"/>
      <c r="AM79" s="26" t="n"/>
      <c r="AN79" s="26" t="n"/>
      <c r="AO79" s="26" t="n"/>
      <c r="AP79" s="26" t="n"/>
      <c r="AQ79" s="26" t="n"/>
      <c r="AR79" s="26" t="n"/>
      <c r="AS79" s="26" t="n"/>
      <c r="AT79" s="26" t="n"/>
      <c r="AU79" s="26" t="n"/>
      <c r="AV79" s="26" t="n"/>
      <c r="AW79" s="26" t="n"/>
      <c r="AX79" s="26" t="n"/>
      <c r="AY79" s="26" t="n"/>
      <c r="AZ79" s="26" t="n"/>
      <c r="BA79" s="26" t="n"/>
      <c r="BB79" s="26" t="n"/>
      <c r="BC79" s="26" t="n"/>
      <c r="BD79" s="26" t="n"/>
      <c r="BE79" s="26" t="n"/>
      <c r="BF79" s="26" t="n"/>
      <c r="BG79" s="26" t="n"/>
      <c r="BH79" s="26" t="n"/>
      <c r="BI79" s="26" t="n"/>
      <c r="BJ79" s="26" t="n"/>
      <c r="BK79" s="26" t="n"/>
      <c r="BL79" s="26" t="n"/>
      <c r="BM79" s="26" t="n"/>
      <c r="BN79" s="26" t="n"/>
      <c r="BO79" s="26" t="n"/>
      <c r="BP79" s="27" t="n"/>
      <c r="BQ79" s="28" t="n"/>
      <c r="BR79" s="28" t="n"/>
      <c r="BS79" s="28" t="n"/>
    </row>
    <row r="80" ht="20" customHeight="1">
      <c r="A80" s="29" t="inlineStr">
        <is>
          <t>实际</t>
        </is>
      </c>
      <c r="B80" s="29" t="inlineStr">
        <is>
          <t>第二期</t>
        </is>
      </c>
      <c r="C80" s="30" t="inlineStr">
        <is>
          <t>PAB220·零件到位</t>
        </is>
      </c>
      <c r="D80" s="31">
        <f>'时间节点计划表'!E40</f>
        <v/>
      </c>
      <c r="E80" s="31">
        <f>IF(COUNT('时间节点计划表'!F40),'时间节点计划表'!F40,"")</f>
        <v/>
      </c>
      <c r="F80" s="32">
        <f>IF(OR(D80="",E80=""),"待填",E80-D80)</f>
        <v/>
      </c>
      <c r="G80" s="23">
        <f>IF(AND(COUNT($E80),N(G$2)=N($E80)),$E80,IF(AND(COUNT($E80),N(G$2)&gt;=N($G$2),N(G$2)&lt;N($E80))," ",""))</f>
        <v/>
      </c>
      <c r="H80" s="23">
        <f>IF(AND(COUNT($E80),N(H$2)=N($E80)),$E80,IF(AND(COUNT($E80),N(H$2)&gt;=N($G$2),N(H$2)&lt;N($E80))," ",""))</f>
        <v/>
      </c>
      <c r="I80" s="23">
        <f>IF(AND(COUNT($E80),N(I$2)=N($E80)),$E80,IF(AND(COUNT($E80),N(I$2)&gt;=N($G$2),N(I$2)&lt;N($E80))," ",""))</f>
        <v/>
      </c>
      <c r="J80" s="23">
        <f>IF(AND(COUNT($E80),N(J$2)=N($E80)),$E80,IF(AND(COUNT($E80),N(J$2)&gt;=N($G$2),N(J$2)&lt;N($E80))," ",""))</f>
        <v/>
      </c>
      <c r="K80" s="23">
        <f>IF(AND(COUNT($E80),N(K$2)=N($E80)),$E80,IF(AND(COUNT($E80),N(K$2)&gt;=N($G$2),N(K$2)&lt;N($E80))," ",""))</f>
        <v/>
      </c>
      <c r="L80" s="23">
        <f>IF(AND(COUNT($E80),N(L$2)=N($E80)),$E80,IF(AND(COUNT($E80),N(L$2)&gt;=N($G$2),N(L$2)&lt;N($E80))," ",""))</f>
        <v/>
      </c>
      <c r="M80" s="23">
        <f>IF(AND(COUNT($E80),N(M$2)=N($E80)),$E80,IF(AND(COUNT($E80),N(M$2)&gt;=N($G$2),N(M$2)&lt;N($E80))," ",""))</f>
        <v/>
      </c>
      <c r="N80" s="23">
        <f>IF(AND(COUNT($E80),N(N$2)=N($E80)),$E80,IF(AND(COUNT($E80),N(N$2)&gt;=N($G$2),N(N$2)&lt;N($E80))," ",""))</f>
        <v/>
      </c>
      <c r="O80" s="23">
        <f>IF(AND(COUNT($E80),N(O$2)=N($E80)),$E80,IF(AND(COUNT($E80),N(O$2)&gt;=N($G$2),N(O$2)&lt;N($E80))," ",""))</f>
        <v/>
      </c>
      <c r="P80" s="23">
        <f>IF(AND(COUNT($E80),N(P$2)=N($E80)),$E80,IF(AND(COUNT($E80),N(P$2)&gt;=N($G$2),N(P$2)&lt;N($E80))," ",""))</f>
        <v/>
      </c>
      <c r="Q80" s="23">
        <f>IF(AND(COUNT($E80),N(Q$2)=N($E80)),$E80,IF(AND(COUNT($E80),N(Q$2)&gt;=N($G$2),N(Q$2)&lt;N($E80))," ",""))</f>
        <v/>
      </c>
      <c r="R80" s="23">
        <f>IF(AND(COUNT($E80),N(R$2)=N($E80)),$E80,IF(AND(COUNT($E80),N(R$2)&gt;=N($G$2),N(R$2)&lt;N($E80))," ",""))</f>
        <v/>
      </c>
      <c r="S80" s="23">
        <f>IF(AND(COUNT($E80),N(S$2)=N($E80)),$E80,IF(AND(COUNT($E80),N(S$2)&gt;=N($G$2),N(S$2)&lt;N($E80))," ",""))</f>
        <v/>
      </c>
      <c r="T80" s="23">
        <f>IF(AND(COUNT($E80),N(T$2)=N($E80)),$E80,IF(AND(COUNT($E80),N(T$2)&gt;=N($G$2),N(T$2)&lt;N($E80))," ",""))</f>
        <v/>
      </c>
      <c r="U80" s="23">
        <f>IF(AND(COUNT($E80),N(U$2)=N($E80)),$E80,IF(AND(COUNT($E80),N(U$2)&gt;=N($G$2),N(U$2)&lt;N($E80))," ",""))</f>
        <v/>
      </c>
      <c r="V80" s="23">
        <f>IF(AND(COUNT($E80),N(V$2)=N($E80)),$E80,IF(AND(COUNT($E80),N(V$2)&gt;=N($G$2),N(V$2)&lt;N($E80))," ",""))</f>
        <v/>
      </c>
      <c r="W80" s="23">
        <f>IF(AND(COUNT($E80),N(W$2)=N($E80)),$E80,IF(AND(COUNT($E80),N(W$2)&gt;=N($G$2),N(W$2)&lt;N($E80))," ",""))</f>
        <v/>
      </c>
      <c r="X80" s="23">
        <f>IF(AND(COUNT($E80),N(X$2)=N($E80)),$E80,IF(AND(COUNT($E80),N(X$2)&gt;=N($G$2),N(X$2)&lt;N($E80))," ",""))</f>
        <v/>
      </c>
      <c r="Y80" s="23">
        <f>IF(AND(COUNT($E80),N(Y$2)=N($E80)),$E80,IF(AND(COUNT($E80),N(Y$2)&gt;=N($G$2),N(Y$2)&lt;N($E80))," ",""))</f>
        <v/>
      </c>
      <c r="Z80" s="23">
        <f>IF(AND(COUNT($E80),N(Z$2)=N($E80)),$E80,IF(AND(COUNT($E80),N(Z$2)&gt;=N($G$2),N(Z$2)&lt;N($E80))," ",""))</f>
        <v/>
      </c>
      <c r="AA80" s="23">
        <f>IF(AND(COUNT($E80),N(AA$2)=N($E80)),$E80,IF(AND(COUNT($E80),N(AA$2)&gt;=N($G$2),N(AA$2)&lt;N($E80))," ",""))</f>
        <v/>
      </c>
      <c r="AB80" s="23">
        <f>IF(AND(COUNT($E80),N(AB$2)=N($E80)),$E80,IF(AND(COUNT($E80),N(AB$2)&gt;=N($G$2),N(AB$2)&lt;N($E80))," ",""))</f>
        <v/>
      </c>
      <c r="AC80" s="23">
        <f>IF(AND(COUNT($E80),N(AC$2)=N($E80)),$E80,IF(AND(COUNT($E80),N(AC$2)&gt;=N($G$2),N(AC$2)&lt;N($E80))," ",""))</f>
        <v/>
      </c>
      <c r="AD80" s="23">
        <f>IF(AND(COUNT($E80),N(AD$2)=N($E80)),$E80,IF(AND(COUNT($E80),N(AD$2)&gt;=N($G$2),N(AD$2)&lt;N($E80))," ",""))</f>
        <v/>
      </c>
      <c r="AE80" s="23">
        <f>IF(AND(COUNT($E80),N(AE$2)=N($E80)),$E80,IF(AND(COUNT($E80),N(AE$2)&gt;=N($G$2),N(AE$2)&lt;N($E80))," ",""))</f>
        <v/>
      </c>
      <c r="AF80" s="23">
        <f>IF(AND(COUNT($E80),N(AF$2)=N($E80)),$E80,IF(AND(COUNT($E80),N(AF$2)&gt;=N($G$2),N(AF$2)&lt;N($E80))," ",""))</f>
        <v/>
      </c>
      <c r="AG80" s="23">
        <f>IF(AND(COUNT($E80),N(AG$2)=N($E80)),$E80,IF(AND(COUNT($E80),N(AG$2)&gt;=N($G$2),N(AG$2)&lt;N($E80))," ",""))</f>
        <v/>
      </c>
      <c r="AH80" s="23">
        <f>IF(AND(COUNT($E80),N(AH$2)=N($E80)),$E80,IF(AND(COUNT($E80),N(AH$2)&gt;=N($G$2),N(AH$2)&lt;N($E80))," ",""))</f>
        <v/>
      </c>
      <c r="AI80" s="23">
        <f>IF(AND(COUNT($E80),N(AI$2)=N($E80)),$E80,IF(AND(COUNT($E80),N(AI$2)&gt;=N($G$2),N(AI$2)&lt;N($E80))," ",""))</f>
        <v/>
      </c>
      <c r="AJ80" s="23">
        <f>IF(AND(COUNT($E80),N(AJ$2)=N($E80)),$E80,IF(AND(COUNT($E80),N(AJ$2)&gt;=N($G$2),N(AJ$2)&lt;N($E80))," ",""))</f>
        <v/>
      </c>
      <c r="AK80" s="23">
        <f>IF(AND(COUNT($E80),N(AK$2)=N($E80)),$E80,IF(AND(COUNT($E80),N(AK$2)&gt;=N($G$2),N(AK$2)&lt;N($E80))," ",""))</f>
        <v/>
      </c>
      <c r="AL80" s="23">
        <f>IF(AND(COUNT($E80),N(AL$2)=N($E80)),$E80,IF(AND(COUNT($E80),N(AL$2)&gt;=N($G$2),N(AL$2)&lt;N($E80))," ",""))</f>
        <v/>
      </c>
      <c r="AM80" s="23">
        <f>IF(AND(COUNT($E80),N(AM$2)=N($E80)),$E80,IF(AND(COUNT($E80),N(AM$2)&gt;=N($G$2),N(AM$2)&lt;N($E80))," ",""))</f>
        <v/>
      </c>
      <c r="AN80" s="23">
        <f>IF(AND(COUNT($E80),N(AN$2)=N($E80)),$E80,IF(AND(COUNT($E80),N(AN$2)&gt;=N($G$2),N(AN$2)&lt;N($E80))," ",""))</f>
        <v/>
      </c>
      <c r="AO80" s="23">
        <f>IF(AND(COUNT($E80),N(AO$2)=N($E80)),$E80,IF(AND(COUNT($E80),N(AO$2)&gt;=N($G$2),N(AO$2)&lt;N($E80))," ",""))</f>
        <v/>
      </c>
      <c r="AP80" s="23">
        <f>IF(AND(COUNT($E80),N(AP$2)=N($E80)),$E80,IF(AND(COUNT($E80),N(AP$2)&gt;=N($G$2),N(AP$2)&lt;N($E80))," ",""))</f>
        <v/>
      </c>
      <c r="AQ80" s="23">
        <f>IF(AND(COUNT($E80),N(AQ$2)=N($E80)),$E80,IF(AND(COUNT($E80),N(AQ$2)&gt;=N($G$2),N(AQ$2)&lt;N($E80))," ",""))</f>
        <v/>
      </c>
      <c r="AR80" s="23">
        <f>IF(AND(COUNT($E80),N(AR$2)=N($E80)),$E80,IF(AND(COUNT($E80),N(AR$2)&gt;=N($G$2),N(AR$2)&lt;N($E80))," ",""))</f>
        <v/>
      </c>
      <c r="AS80" s="23">
        <f>IF(AND(COUNT($E80),N(AS$2)=N($E80)),$E80,IF(AND(COUNT($E80),N(AS$2)&gt;=N($G$2),N(AS$2)&lt;N($E80))," ",""))</f>
        <v/>
      </c>
      <c r="AT80" s="23">
        <f>IF(AND(COUNT($E80),N(AT$2)=N($E80)),$E80,IF(AND(COUNT($E80),N(AT$2)&gt;=N($G$2),N(AT$2)&lt;N($E80))," ",""))</f>
        <v/>
      </c>
      <c r="AU80" s="23">
        <f>IF(AND(COUNT($E80),N(AU$2)=N($E80)),$E80,IF(AND(COUNT($E80),N(AU$2)&gt;=N($G$2),N(AU$2)&lt;N($E80))," ",""))</f>
        <v/>
      </c>
      <c r="AV80" s="23">
        <f>IF(AND(COUNT($E80),N(AV$2)=N($E80)),$E80,IF(AND(COUNT($E80),N(AV$2)&gt;=N($G$2),N(AV$2)&lt;N($E80))," ",""))</f>
        <v/>
      </c>
      <c r="AW80" s="23">
        <f>IF(AND(COUNT($E80),N(AW$2)=N($E80)),$E80,IF(AND(COUNT($E80),N(AW$2)&gt;=N($G$2),N(AW$2)&lt;N($E80))," ",""))</f>
        <v/>
      </c>
      <c r="AX80" s="23">
        <f>IF(AND(COUNT($E80),N(AX$2)=N($E80)),$E80,IF(AND(COUNT($E80),N(AX$2)&gt;=N($G$2),N(AX$2)&lt;N($E80))," ",""))</f>
        <v/>
      </c>
      <c r="AY80" s="23">
        <f>IF(AND(COUNT($E80),N(AY$2)=N($E80)),$E80,IF(AND(COUNT($E80),N(AY$2)&gt;=N($G$2),N(AY$2)&lt;N($E80))," ",""))</f>
        <v/>
      </c>
      <c r="AZ80" s="23">
        <f>IF(AND(COUNT($E80),N(AZ$2)=N($E80)),$E80,IF(AND(COUNT($E80),N(AZ$2)&gt;=N($G$2),N(AZ$2)&lt;N($E80))," ",""))</f>
        <v/>
      </c>
      <c r="BA80" s="23">
        <f>IF(AND(COUNT($E80),N(BA$2)=N($E80)),$E80,IF(AND(COUNT($E80),N(BA$2)&gt;=N($G$2),N(BA$2)&lt;N($E80))," ",""))</f>
        <v/>
      </c>
      <c r="BB80" s="23">
        <f>IF(AND(COUNT($E80),N(BB$2)=N($E80)),$E80,IF(AND(COUNT($E80),N(BB$2)&gt;=N($G$2),N(BB$2)&lt;N($E80))," ",""))</f>
        <v/>
      </c>
      <c r="BC80" s="23">
        <f>IF(AND(COUNT($E80),N(BC$2)=N($E80)),$E80,IF(AND(COUNT($E80),N(BC$2)&gt;=N($G$2),N(BC$2)&lt;N($E80))," ",""))</f>
        <v/>
      </c>
      <c r="BD80" s="23">
        <f>IF(AND(COUNT($E80),N(BD$2)=N($E80)),$E80,IF(AND(COUNT($E80),N(BD$2)&gt;=N($G$2),N(BD$2)&lt;N($E80))," ",""))</f>
        <v/>
      </c>
      <c r="BE80" s="23">
        <f>IF(AND(COUNT($E80),N(BE$2)=N($E80)),$E80,IF(AND(COUNT($E80),N(BE$2)&gt;=N($G$2),N(BE$2)&lt;N($E80))," ",""))</f>
        <v/>
      </c>
      <c r="BF80" s="23">
        <f>IF(AND(COUNT($E80),N(BF$2)=N($E80)),$E80,IF(AND(COUNT($E80),N(BF$2)&gt;=N($G$2),N(BF$2)&lt;N($E80))," ",""))</f>
        <v/>
      </c>
      <c r="BG80" s="23">
        <f>IF(AND(COUNT($E80),N(BG$2)=N($E80)),$E80,IF(AND(COUNT($E80),N(BG$2)&gt;=N($G$2),N(BG$2)&lt;N($E80))," ",""))</f>
        <v/>
      </c>
      <c r="BH80" s="23">
        <f>IF(AND(COUNT($E80),N(BH$2)=N($E80)),$E80,IF(AND(COUNT($E80),N(BH$2)&gt;=N($G$2),N(BH$2)&lt;N($E80))," ",""))</f>
        <v/>
      </c>
      <c r="BI80" s="23">
        <f>IF(AND(COUNT($E80),N(BI$2)=N($E80)),$E80,IF(AND(COUNT($E80),N(BI$2)&gt;=N($G$2),N(BI$2)&lt;N($E80))," ",""))</f>
        <v/>
      </c>
      <c r="BJ80" s="23">
        <f>IF(AND(COUNT($E80),N(BJ$2)=N($E80)),$E80,IF(AND(COUNT($E80),N(BJ$2)&gt;=N($G$2),N(BJ$2)&lt;N($E80))," ",""))</f>
        <v/>
      </c>
      <c r="BK80" s="23">
        <f>IF(AND(COUNT($E80),N(BK$2)=N($E80)),$E80,IF(AND(COUNT($E80),N(BK$2)&gt;=N($G$2),N(BK$2)&lt;N($E80))," ",""))</f>
        <v/>
      </c>
      <c r="BL80" s="23">
        <f>IF(AND(COUNT($E80),N(BL$2)=N($E80)),$E80,IF(AND(COUNT($E80),N(BL$2)&gt;=N($G$2),N(BL$2)&lt;N($E80))," ",""))</f>
        <v/>
      </c>
      <c r="BM80" s="23">
        <f>IF(AND(COUNT($E80),N(BM$2)=N($E80)),$E80,IF(AND(COUNT($E80),N(BM$2)&gt;=N($G$2),N(BM$2)&lt;N($E80))," ",""))</f>
        <v/>
      </c>
      <c r="BN80" s="23">
        <f>IF(AND(COUNT($E80),N(BN$2)=N($E80)),$E80,IF(AND(COUNT($E80),N(BN$2)&gt;=N($G$2),N(BN$2)&lt;N($E80))," ",""))</f>
        <v/>
      </c>
      <c r="BO80" s="23">
        <f>IF(AND(COUNT($E80),N(BO$2)=N($E80)),$E80,IF(AND(COUNT($E80),N(BO$2)&gt;=N($G$2),N(BO$2)&lt;N($E80))," ",""))</f>
        <v/>
      </c>
      <c r="BP80" s="23">
        <f>IF(AND(COUNT($E80),N(BP$2)=N($E80)),$E80,IF(AND(COUNT($E80),N(BP$2)&gt;=N($G$2),N(BP$2)&lt;N($E80))," ",""))</f>
        <v/>
      </c>
      <c r="BQ80" s="23">
        <f>IF(AND(COUNT($E80),N(BQ$2)=N($E80)),$E80,IF(AND(COUNT($E80),N(BQ$2)&gt;=N($G$2),N(BQ$2)&lt;N($E80))," ",""))</f>
        <v/>
      </c>
      <c r="BR80" s="23">
        <f>IF(AND(COUNT($E80),N(BR$2)=N($E80)),$E80,IF(AND(COUNT($E80),N(BR$2)&gt;=N($G$2),N(BR$2)&lt;N($E80))," ",""))</f>
        <v/>
      </c>
      <c r="BS80" s="23">
        <f>IF(AND(COUNT($E80),N(BS$2)=N($E80)),$E80,IF(AND(COUNT($E80),N(BS$2)&gt;=N($G$2),N(BS$2)&lt;N($E80))," ",""))</f>
        <v/>
      </c>
    </row>
    <row r="81" ht="20" customHeight="1">
      <c r="A81" s="21" t="inlineStr">
        <is>
          <t>预估</t>
        </is>
      </c>
      <c r="B81" s="21" t="inlineStr">
        <is>
          <t>第二期</t>
        </is>
      </c>
      <c r="C81" s="22" t="inlineStr">
        <is>
          <t>PAB220·工装图纸绘制</t>
        </is>
      </c>
      <c r="D81" s="23">
        <f>'时间节点计划表'!E41</f>
        <v/>
      </c>
      <c r="E81" s="23">
        <f>IF(COUNT('时间节点计划表'!F41),'时间节点计划表'!F41,"")</f>
        <v/>
      </c>
      <c r="F81" s="24" t="inlineStr"/>
      <c r="G81" s="25">
        <f>D81</f>
        <v/>
      </c>
      <c r="H81" s="26" t="n"/>
      <c r="I81" s="26" t="n"/>
      <c r="J81" s="26" t="n"/>
      <c r="K81" s="26" t="n"/>
      <c r="L81" s="26" t="n"/>
      <c r="M81" s="26" t="n"/>
      <c r="N81" s="26" t="n"/>
      <c r="O81" s="26" t="n"/>
      <c r="P81" s="26" t="n"/>
      <c r="Q81" s="26" t="n"/>
      <c r="R81" s="26" t="n"/>
      <c r="S81" s="26" t="n"/>
      <c r="T81" s="26" t="n"/>
      <c r="U81" s="26" t="n"/>
      <c r="V81" s="26" t="n"/>
      <c r="W81" s="26" t="n"/>
      <c r="X81" s="26" t="n"/>
      <c r="Y81" s="26" t="n"/>
      <c r="Z81" s="26" t="n"/>
      <c r="AA81" s="26" t="n"/>
      <c r="AB81" s="26" t="n"/>
      <c r="AC81" s="26" t="n"/>
      <c r="AD81" s="26" t="n"/>
      <c r="AE81" s="26" t="n"/>
      <c r="AF81" s="27" t="n"/>
      <c r="AG81" s="28" t="n"/>
      <c r="AH81" s="28" t="n"/>
      <c r="AI81" s="28" t="n"/>
      <c r="AJ81" s="28" t="n"/>
      <c r="AK81" s="28" t="n"/>
      <c r="AL81" s="28" t="n"/>
      <c r="AM81" s="28" t="n"/>
      <c r="AN81" s="28" t="n"/>
      <c r="AO81" s="28" t="n"/>
      <c r="AP81" s="28" t="n"/>
      <c r="AQ81" s="28" t="n"/>
      <c r="AR81" s="28" t="n"/>
      <c r="AS81" s="28" t="n"/>
      <c r="AT81" s="28" t="n"/>
      <c r="AU81" s="28" t="n"/>
      <c r="AV81" s="28" t="n"/>
      <c r="AW81" s="28" t="n"/>
      <c r="AX81" s="28" t="n"/>
      <c r="AY81" s="28" t="n"/>
      <c r="AZ81" s="28" t="n"/>
      <c r="BA81" s="28" t="n"/>
      <c r="BB81" s="28" t="n"/>
      <c r="BC81" s="28" t="n"/>
      <c r="BD81" s="28" t="n"/>
      <c r="BE81" s="28" t="n"/>
      <c r="BF81" s="28" t="n"/>
      <c r="BG81" s="28" t="n"/>
      <c r="BH81" s="28" t="n"/>
      <c r="BI81" s="28" t="n"/>
      <c r="BJ81" s="28" t="n"/>
      <c r="BK81" s="28" t="n"/>
      <c r="BL81" s="28" t="n"/>
      <c r="BM81" s="28" t="n"/>
      <c r="BN81" s="28" t="n"/>
      <c r="BO81" s="28" t="n"/>
      <c r="BP81" s="28" t="n"/>
      <c r="BQ81" s="28" t="n"/>
      <c r="BR81" s="28" t="n"/>
      <c r="BS81" s="28" t="n"/>
    </row>
    <row r="82" ht="20" customHeight="1">
      <c r="A82" s="29" t="inlineStr">
        <is>
          <t>实际</t>
        </is>
      </c>
      <c r="B82" s="29" t="inlineStr">
        <is>
          <t>第二期</t>
        </is>
      </c>
      <c r="C82" s="30" t="inlineStr">
        <is>
          <t>PAB220·工装图纸绘制</t>
        </is>
      </c>
      <c r="D82" s="31">
        <f>'时间节点计划表'!E41</f>
        <v/>
      </c>
      <c r="E82" s="31">
        <f>IF(COUNT('时间节点计划表'!F41),'时间节点计划表'!F41,"")</f>
        <v/>
      </c>
      <c r="F82" s="32">
        <f>IF(OR(D82="",E82=""),"待填",E82-D82)</f>
        <v/>
      </c>
      <c r="G82" s="23">
        <f>IF(AND(COUNT($E82),N(G$2)=N($E82)),$E82,IF(AND(COUNT($E82),N(G$2)&gt;=N($G$2),N(G$2)&lt;N($E82))," ",""))</f>
        <v/>
      </c>
      <c r="H82" s="23">
        <f>IF(AND(COUNT($E82),N(H$2)=N($E82)),$E82,IF(AND(COUNT($E82),N(H$2)&gt;=N($G$2),N(H$2)&lt;N($E82))," ",""))</f>
        <v/>
      </c>
      <c r="I82" s="23">
        <f>IF(AND(COUNT($E82),N(I$2)=N($E82)),$E82,IF(AND(COUNT($E82),N(I$2)&gt;=N($G$2),N(I$2)&lt;N($E82))," ",""))</f>
        <v/>
      </c>
      <c r="J82" s="23">
        <f>IF(AND(COUNT($E82),N(J$2)=N($E82)),$E82,IF(AND(COUNT($E82),N(J$2)&gt;=N($G$2),N(J$2)&lt;N($E82))," ",""))</f>
        <v/>
      </c>
      <c r="K82" s="23">
        <f>IF(AND(COUNT($E82),N(K$2)=N($E82)),$E82,IF(AND(COUNT($E82),N(K$2)&gt;=N($G$2),N(K$2)&lt;N($E82))," ",""))</f>
        <v/>
      </c>
      <c r="L82" s="23">
        <f>IF(AND(COUNT($E82),N(L$2)=N($E82)),$E82,IF(AND(COUNT($E82),N(L$2)&gt;=N($G$2),N(L$2)&lt;N($E82))," ",""))</f>
        <v/>
      </c>
      <c r="M82" s="23">
        <f>IF(AND(COUNT($E82),N(M$2)=N($E82)),$E82,IF(AND(COUNT($E82),N(M$2)&gt;=N($G$2),N(M$2)&lt;N($E82))," ",""))</f>
        <v/>
      </c>
      <c r="N82" s="23">
        <f>IF(AND(COUNT($E82),N(N$2)=N($E82)),$E82,IF(AND(COUNT($E82),N(N$2)&gt;=N($G$2),N(N$2)&lt;N($E82))," ",""))</f>
        <v/>
      </c>
      <c r="O82" s="23">
        <f>IF(AND(COUNT($E82),N(O$2)=N($E82)),$E82,IF(AND(COUNT($E82),N(O$2)&gt;=N($G$2),N(O$2)&lt;N($E82))," ",""))</f>
        <v/>
      </c>
      <c r="P82" s="23">
        <f>IF(AND(COUNT($E82),N(P$2)=N($E82)),$E82,IF(AND(COUNT($E82),N(P$2)&gt;=N($G$2),N(P$2)&lt;N($E82))," ",""))</f>
        <v/>
      </c>
      <c r="Q82" s="23">
        <f>IF(AND(COUNT($E82),N(Q$2)=N($E82)),$E82,IF(AND(COUNT($E82),N(Q$2)&gt;=N($G$2),N(Q$2)&lt;N($E82))," ",""))</f>
        <v/>
      </c>
      <c r="R82" s="23">
        <f>IF(AND(COUNT($E82),N(R$2)=N($E82)),$E82,IF(AND(COUNT($E82),N(R$2)&gt;=N($G$2),N(R$2)&lt;N($E82))," ",""))</f>
        <v/>
      </c>
      <c r="S82" s="23">
        <f>IF(AND(COUNT($E82),N(S$2)=N($E82)),$E82,IF(AND(COUNT($E82),N(S$2)&gt;=N($G$2),N(S$2)&lt;N($E82))," ",""))</f>
        <v/>
      </c>
      <c r="T82" s="23">
        <f>IF(AND(COUNT($E82),N(T$2)=N($E82)),$E82,IF(AND(COUNT($E82),N(T$2)&gt;=N($G$2),N(T$2)&lt;N($E82))," ",""))</f>
        <v/>
      </c>
      <c r="U82" s="23">
        <f>IF(AND(COUNT($E82),N(U$2)=N($E82)),$E82,IF(AND(COUNT($E82),N(U$2)&gt;=N($G$2),N(U$2)&lt;N($E82))," ",""))</f>
        <v/>
      </c>
      <c r="V82" s="23">
        <f>IF(AND(COUNT($E82),N(V$2)=N($E82)),$E82,IF(AND(COUNT($E82),N(V$2)&gt;=N($G$2),N(V$2)&lt;N($E82))," ",""))</f>
        <v/>
      </c>
      <c r="W82" s="23">
        <f>IF(AND(COUNT($E82),N(W$2)=N($E82)),$E82,IF(AND(COUNT($E82),N(W$2)&gt;=N($G$2),N(W$2)&lt;N($E82))," ",""))</f>
        <v/>
      </c>
      <c r="X82" s="23">
        <f>IF(AND(COUNT($E82),N(X$2)=N($E82)),$E82,IF(AND(COUNT($E82),N(X$2)&gt;=N($G$2),N(X$2)&lt;N($E82))," ",""))</f>
        <v/>
      </c>
      <c r="Y82" s="23">
        <f>IF(AND(COUNT($E82),N(Y$2)=N($E82)),$E82,IF(AND(COUNT($E82),N(Y$2)&gt;=N($G$2),N(Y$2)&lt;N($E82))," ",""))</f>
        <v/>
      </c>
      <c r="Z82" s="23">
        <f>IF(AND(COUNT($E82),N(Z$2)=N($E82)),$E82,IF(AND(COUNT($E82),N(Z$2)&gt;=N($G$2),N(Z$2)&lt;N($E82))," ",""))</f>
        <v/>
      </c>
      <c r="AA82" s="23">
        <f>IF(AND(COUNT($E82),N(AA$2)=N($E82)),$E82,IF(AND(COUNT($E82),N(AA$2)&gt;=N($G$2),N(AA$2)&lt;N($E82))," ",""))</f>
        <v/>
      </c>
      <c r="AB82" s="23">
        <f>IF(AND(COUNT($E82),N(AB$2)=N($E82)),$E82,IF(AND(COUNT($E82),N(AB$2)&gt;=N($G$2),N(AB$2)&lt;N($E82))," ",""))</f>
        <v/>
      </c>
      <c r="AC82" s="23">
        <f>IF(AND(COUNT($E82),N(AC$2)=N($E82)),$E82,IF(AND(COUNT($E82),N(AC$2)&gt;=N($G$2),N(AC$2)&lt;N($E82))," ",""))</f>
        <v/>
      </c>
      <c r="AD82" s="23">
        <f>IF(AND(COUNT($E82),N(AD$2)=N($E82)),$E82,IF(AND(COUNT($E82),N(AD$2)&gt;=N($G$2),N(AD$2)&lt;N($E82))," ",""))</f>
        <v/>
      </c>
      <c r="AE82" s="23">
        <f>IF(AND(COUNT($E82),N(AE$2)=N($E82)),$E82,IF(AND(COUNT($E82),N(AE$2)&gt;=N($G$2),N(AE$2)&lt;N($E82))," ",""))</f>
        <v/>
      </c>
      <c r="AF82" s="23">
        <f>IF(AND(COUNT($E82),N(AF$2)=N($E82)),$E82,IF(AND(COUNT($E82),N(AF$2)&gt;=N($G$2),N(AF$2)&lt;N($E82))," ",""))</f>
        <v/>
      </c>
      <c r="AG82" s="23">
        <f>IF(AND(COUNT($E82),N(AG$2)=N($E82)),$E82,IF(AND(COUNT($E82),N(AG$2)&gt;=N($G$2),N(AG$2)&lt;N($E82))," ",""))</f>
        <v/>
      </c>
      <c r="AH82" s="23">
        <f>IF(AND(COUNT($E82),N(AH$2)=N($E82)),$E82,IF(AND(COUNT($E82),N(AH$2)&gt;=N($G$2),N(AH$2)&lt;N($E82))," ",""))</f>
        <v/>
      </c>
      <c r="AI82" s="23">
        <f>IF(AND(COUNT($E82),N(AI$2)=N($E82)),$E82,IF(AND(COUNT($E82),N(AI$2)&gt;=N($G$2),N(AI$2)&lt;N($E82))," ",""))</f>
        <v/>
      </c>
      <c r="AJ82" s="23">
        <f>IF(AND(COUNT($E82),N(AJ$2)=N($E82)),$E82,IF(AND(COUNT($E82),N(AJ$2)&gt;=N($G$2),N(AJ$2)&lt;N($E82))," ",""))</f>
        <v/>
      </c>
      <c r="AK82" s="23">
        <f>IF(AND(COUNT($E82),N(AK$2)=N($E82)),$E82,IF(AND(COUNT($E82),N(AK$2)&gt;=N($G$2),N(AK$2)&lt;N($E82))," ",""))</f>
        <v/>
      </c>
      <c r="AL82" s="23">
        <f>IF(AND(COUNT($E82),N(AL$2)=N($E82)),$E82,IF(AND(COUNT($E82),N(AL$2)&gt;=N($G$2),N(AL$2)&lt;N($E82))," ",""))</f>
        <v/>
      </c>
      <c r="AM82" s="23">
        <f>IF(AND(COUNT($E82),N(AM$2)=N($E82)),$E82,IF(AND(COUNT($E82),N(AM$2)&gt;=N($G$2),N(AM$2)&lt;N($E82))," ",""))</f>
        <v/>
      </c>
      <c r="AN82" s="23">
        <f>IF(AND(COUNT($E82),N(AN$2)=N($E82)),$E82,IF(AND(COUNT($E82),N(AN$2)&gt;=N($G$2),N(AN$2)&lt;N($E82))," ",""))</f>
        <v/>
      </c>
      <c r="AO82" s="23">
        <f>IF(AND(COUNT($E82),N(AO$2)=N($E82)),$E82,IF(AND(COUNT($E82),N(AO$2)&gt;=N($G$2),N(AO$2)&lt;N($E82))," ",""))</f>
        <v/>
      </c>
      <c r="AP82" s="23">
        <f>IF(AND(COUNT($E82),N(AP$2)=N($E82)),$E82,IF(AND(COUNT($E82),N(AP$2)&gt;=N($G$2),N(AP$2)&lt;N($E82))," ",""))</f>
        <v/>
      </c>
      <c r="AQ82" s="23">
        <f>IF(AND(COUNT($E82),N(AQ$2)=N($E82)),$E82,IF(AND(COUNT($E82),N(AQ$2)&gt;=N($G$2),N(AQ$2)&lt;N($E82))," ",""))</f>
        <v/>
      </c>
      <c r="AR82" s="23">
        <f>IF(AND(COUNT($E82),N(AR$2)=N($E82)),$E82,IF(AND(COUNT($E82),N(AR$2)&gt;=N($G$2),N(AR$2)&lt;N($E82))," ",""))</f>
        <v/>
      </c>
      <c r="AS82" s="23">
        <f>IF(AND(COUNT($E82),N(AS$2)=N($E82)),$E82,IF(AND(COUNT($E82),N(AS$2)&gt;=N($G$2),N(AS$2)&lt;N($E82))," ",""))</f>
        <v/>
      </c>
      <c r="AT82" s="23">
        <f>IF(AND(COUNT($E82),N(AT$2)=N($E82)),$E82,IF(AND(COUNT($E82),N(AT$2)&gt;=N($G$2),N(AT$2)&lt;N($E82))," ",""))</f>
        <v/>
      </c>
      <c r="AU82" s="23">
        <f>IF(AND(COUNT($E82),N(AU$2)=N($E82)),$E82,IF(AND(COUNT($E82),N(AU$2)&gt;=N($G$2),N(AU$2)&lt;N($E82))," ",""))</f>
        <v/>
      </c>
      <c r="AV82" s="23">
        <f>IF(AND(COUNT($E82),N(AV$2)=N($E82)),$E82,IF(AND(COUNT($E82),N(AV$2)&gt;=N($G$2),N(AV$2)&lt;N($E82))," ",""))</f>
        <v/>
      </c>
      <c r="AW82" s="23">
        <f>IF(AND(COUNT($E82),N(AW$2)=N($E82)),$E82,IF(AND(COUNT($E82),N(AW$2)&gt;=N($G$2),N(AW$2)&lt;N($E82))," ",""))</f>
        <v/>
      </c>
      <c r="AX82" s="23">
        <f>IF(AND(COUNT($E82),N(AX$2)=N($E82)),$E82,IF(AND(COUNT($E82),N(AX$2)&gt;=N($G$2),N(AX$2)&lt;N($E82))," ",""))</f>
        <v/>
      </c>
      <c r="AY82" s="23">
        <f>IF(AND(COUNT($E82),N(AY$2)=N($E82)),$E82,IF(AND(COUNT($E82),N(AY$2)&gt;=N($G$2),N(AY$2)&lt;N($E82))," ",""))</f>
        <v/>
      </c>
      <c r="AZ82" s="23">
        <f>IF(AND(COUNT($E82),N(AZ$2)=N($E82)),$E82,IF(AND(COUNT($E82),N(AZ$2)&gt;=N($G$2),N(AZ$2)&lt;N($E82))," ",""))</f>
        <v/>
      </c>
      <c r="BA82" s="23">
        <f>IF(AND(COUNT($E82),N(BA$2)=N($E82)),$E82,IF(AND(COUNT($E82),N(BA$2)&gt;=N($G$2),N(BA$2)&lt;N($E82))," ",""))</f>
        <v/>
      </c>
      <c r="BB82" s="23">
        <f>IF(AND(COUNT($E82),N(BB$2)=N($E82)),$E82,IF(AND(COUNT($E82),N(BB$2)&gt;=N($G$2),N(BB$2)&lt;N($E82))," ",""))</f>
        <v/>
      </c>
      <c r="BC82" s="23">
        <f>IF(AND(COUNT($E82),N(BC$2)=N($E82)),$E82,IF(AND(COUNT($E82),N(BC$2)&gt;=N($G$2),N(BC$2)&lt;N($E82))," ",""))</f>
        <v/>
      </c>
      <c r="BD82" s="23">
        <f>IF(AND(COUNT($E82),N(BD$2)=N($E82)),$E82,IF(AND(COUNT($E82),N(BD$2)&gt;=N($G$2),N(BD$2)&lt;N($E82))," ",""))</f>
        <v/>
      </c>
      <c r="BE82" s="23">
        <f>IF(AND(COUNT($E82),N(BE$2)=N($E82)),$E82,IF(AND(COUNT($E82),N(BE$2)&gt;=N($G$2),N(BE$2)&lt;N($E82))," ",""))</f>
        <v/>
      </c>
      <c r="BF82" s="23">
        <f>IF(AND(COUNT($E82),N(BF$2)=N($E82)),$E82,IF(AND(COUNT($E82),N(BF$2)&gt;=N($G$2),N(BF$2)&lt;N($E82))," ",""))</f>
        <v/>
      </c>
      <c r="BG82" s="23">
        <f>IF(AND(COUNT($E82),N(BG$2)=N($E82)),$E82,IF(AND(COUNT($E82),N(BG$2)&gt;=N($G$2),N(BG$2)&lt;N($E82))," ",""))</f>
        <v/>
      </c>
      <c r="BH82" s="23">
        <f>IF(AND(COUNT($E82),N(BH$2)=N($E82)),$E82,IF(AND(COUNT($E82),N(BH$2)&gt;=N($G$2),N(BH$2)&lt;N($E82))," ",""))</f>
        <v/>
      </c>
      <c r="BI82" s="23">
        <f>IF(AND(COUNT($E82),N(BI$2)=N($E82)),$E82,IF(AND(COUNT($E82),N(BI$2)&gt;=N($G$2),N(BI$2)&lt;N($E82))," ",""))</f>
        <v/>
      </c>
      <c r="BJ82" s="23">
        <f>IF(AND(COUNT($E82),N(BJ$2)=N($E82)),$E82,IF(AND(COUNT($E82),N(BJ$2)&gt;=N($G$2),N(BJ$2)&lt;N($E82))," ",""))</f>
        <v/>
      </c>
      <c r="BK82" s="23">
        <f>IF(AND(COUNT($E82),N(BK$2)=N($E82)),$E82,IF(AND(COUNT($E82),N(BK$2)&gt;=N($G$2),N(BK$2)&lt;N($E82))," ",""))</f>
        <v/>
      </c>
      <c r="BL82" s="23">
        <f>IF(AND(COUNT($E82),N(BL$2)=N($E82)),$E82,IF(AND(COUNT($E82),N(BL$2)&gt;=N($G$2),N(BL$2)&lt;N($E82))," ",""))</f>
        <v/>
      </c>
      <c r="BM82" s="23">
        <f>IF(AND(COUNT($E82),N(BM$2)=N($E82)),$E82,IF(AND(COUNT($E82),N(BM$2)&gt;=N($G$2),N(BM$2)&lt;N($E82))," ",""))</f>
        <v/>
      </c>
      <c r="BN82" s="23">
        <f>IF(AND(COUNT($E82),N(BN$2)=N($E82)),$E82,IF(AND(COUNT($E82),N(BN$2)&gt;=N($G$2),N(BN$2)&lt;N($E82))," ",""))</f>
        <v/>
      </c>
      <c r="BO82" s="23">
        <f>IF(AND(COUNT($E82),N(BO$2)=N($E82)),$E82,IF(AND(COUNT($E82),N(BO$2)&gt;=N($G$2),N(BO$2)&lt;N($E82))," ",""))</f>
        <v/>
      </c>
      <c r="BP82" s="23">
        <f>IF(AND(COUNT($E82),N(BP$2)=N($E82)),$E82,IF(AND(COUNT($E82),N(BP$2)&gt;=N($G$2),N(BP$2)&lt;N($E82))," ",""))</f>
        <v/>
      </c>
      <c r="BQ82" s="23">
        <f>IF(AND(COUNT($E82),N(BQ$2)=N($E82)),$E82,IF(AND(COUNT($E82),N(BQ$2)&gt;=N($G$2),N(BQ$2)&lt;N($E82))," ",""))</f>
        <v/>
      </c>
      <c r="BR82" s="23">
        <f>IF(AND(COUNT($E82),N(BR$2)=N($E82)),$E82,IF(AND(COUNT($E82),N(BR$2)&gt;=N($G$2),N(BR$2)&lt;N($E82))," ",""))</f>
        <v/>
      </c>
      <c r="BS82" s="23">
        <f>IF(AND(COUNT($E82),N(BS$2)=N($E82)),$E82,IF(AND(COUNT($E82),N(BS$2)&gt;=N($G$2),N(BS$2)&lt;N($E82))," ",""))</f>
        <v/>
      </c>
    </row>
    <row r="83" ht="20" customHeight="1">
      <c r="A83" s="21" t="inlineStr">
        <is>
          <t>预估</t>
        </is>
      </c>
      <c r="B83" s="21" t="inlineStr">
        <is>
          <t>第二期</t>
        </is>
      </c>
      <c r="C83" s="22" t="inlineStr">
        <is>
          <t>PAB220·工装实物到位</t>
        </is>
      </c>
      <c r="D83" s="23">
        <f>'时间节点计划表'!E42</f>
        <v/>
      </c>
      <c r="E83" s="23">
        <f>IF(COUNT('时间节点计划表'!F42),'时间节点计划表'!F42,"")</f>
        <v/>
      </c>
      <c r="F83" s="24" t="inlineStr"/>
      <c r="G83" s="25">
        <f>D83</f>
        <v/>
      </c>
      <c r="H83" s="26" t="n"/>
      <c r="I83" s="26" t="n"/>
      <c r="J83" s="26" t="n"/>
      <c r="K83" s="26" t="n"/>
      <c r="L83" s="26" t="n"/>
      <c r="M83" s="26" t="n"/>
      <c r="N83" s="26" t="n"/>
      <c r="O83" s="26" t="n"/>
      <c r="P83" s="26" t="n"/>
      <c r="Q83" s="26" t="n"/>
      <c r="R83" s="26" t="n"/>
      <c r="S83" s="26" t="n"/>
      <c r="T83" s="26" t="n"/>
      <c r="U83" s="26" t="n"/>
      <c r="V83" s="26" t="n"/>
      <c r="W83" s="26" t="n"/>
      <c r="X83" s="26" t="n"/>
      <c r="Y83" s="26" t="n"/>
      <c r="Z83" s="26" t="n"/>
      <c r="AA83" s="26" t="n"/>
      <c r="AB83" s="26" t="n"/>
      <c r="AC83" s="26" t="n"/>
      <c r="AD83" s="26" t="n"/>
      <c r="AE83" s="26" t="n"/>
      <c r="AF83" s="26" t="n"/>
      <c r="AG83" s="26" t="n"/>
      <c r="AH83" s="26" t="n"/>
      <c r="AI83" s="26" t="n"/>
      <c r="AJ83" s="26" t="n"/>
      <c r="AK83" s="26" t="n"/>
      <c r="AL83" s="26" t="n"/>
      <c r="AM83" s="26" t="n"/>
      <c r="AN83" s="26" t="n"/>
      <c r="AO83" s="26" t="n"/>
      <c r="AP83" s="26" t="n"/>
      <c r="AQ83" s="26" t="n"/>
      <c r="AR83" s="26" t="n"/>
      <c r="AS83" s="26" t="n"/>
      <c r="AT83" s="26" t="n"/>
      <c r="AU83" s="26" t="n"/>
      <c r="AV83" s="26" t="n"/>
      <c r="AW83" s="26" t="n"/>
      <c r="AX83" s="26" t="n"/>
      <c r="AY83" s="26" t="n"/>
      <c r="AZ83" s="26" t="n"/>
      <c r="BA83" s="26" t="n"/>
      <c r="BB83" s="26" t="n"/>
      <c r="BC83" s="26" t="n"/>
      <c r="BD83" s="26" t="n"/>
      <c r="BE83" s="26" t="n"/>
      <c r="BF83" s="27" t="n"/>
      <c r="BG83" s="28" t="n"/>
      <c r="BH83" s="28" t="n"/>
      <c r="BI83" s="28" t="n"/>
      <c r="BJ83" s="28" t="n"/>
      <c r="BK83" s="28" t="n"/>
      <c r="BL83" s="28" t="n"/>
      <c r="BM83" s="28" t="n"/>
      <c r="BN83" s="28" t="n"/>
      <c r="BO83" s="28" t="n"/>
      <c r="BP83" s="28" t="n"/>
      <c r="BQ83" s="28" t="n"/>
      <c r="BR83" s="28" t="n"/>
      <c r="BS83" s="28" t="n"/>
    </row>
    <row r="84" ht="20" customHeight="1">
      <c r="A84" s="29" t="inlineStr">
        <is>
          <t>实际</t>
        </is>
      </c>
      <c r="B84" s="29" t="inlineStr">
        <is>
          <t>第二期</t>
        </is>
      </c>
      <c r="C84" s="30" t="inlineStr">
        <is>
          <t>PAB220·工装实物到位</t>
        </is>
      </c>
      <c r="D84" s="31">
        <f>'时间节点计划表'!E42</f>
        <v/>
      </c>
      <c r="E84" s="31">
        <f>IF(COUNT('时间节点计划表'!F42),'时间节点计划表'!F42,"")</f>
        <v/>
      </c>
      <c r="F84" s="32">
        <f>IF(OR(D84="",E84=""),"待填",E84-D84)</f>
        <v/>
      </c>
      <c r="G84" s="23">
        <f>IF(AND(COUNT($E84),N(G$2)=N($E84)),$E84,IF(AND(COUNT($E84),N(G$2)&gt;=N($G$2),N(G$2)&lt;N($E84))," ",""))</f>
        <v/>
      </c>
      <c r="H84" s="23">
        <f>IF(AND(COUNT($E84),N(H$2)=N($E84)),$E84,IF(AND(COUNT($E84),N(H$2)&gt;=N($G$2),N(H$2)&lt;N($E84))," ",""))</f>
        <v/>
      </c>
      <c r="I84" s="23">
        <f>IF(AND(COUNT($E84),N(I$2)=N($E84)),$E84,IF(AND(COUNT($E84),N(I$2)&gt;=N($G$2),N(I$2)&lt;N($E84))," ",""))</f>
        <v/>
      </c>
      <c r="J84" s="23">
        <f>IF(AND(COUNT($E84),N(J$2)=N($E84)),$E84,IF(AND(COUNT($E84),N(J$2)&gt;=N($G$2),N(J$2)&lt;N($E84))," ",""))</f>
        <v/>
      </c>
      <c r="K84" s="23">
        <f>IF(AND(COUNT($E84),N(K$2)=N($E84)),$E84,IF(AND(COUNT($E84),N(K$2)&gt;=N($G$2),N(K$2)&lt;N($E84))," ",""))</f>
        <v/>
      </c>
      <c r="L84" s="23">
        <f>IF(AND(COUNT($E84),N(L$2)=N($E84)),$E84,IF(AND(COUNT($E84),N(L$2)&gt;=N($G$2),N(L$2)&lt;N($E84))," ",""))</f>
        <v/>
      </c>
      <c r="M84" s="23">
        <f>IF(AND(COUNT($E84),N(M$2)=N($E84)),$E84,IF(AND(COUNT($E84),N(M$2)&gt;=N($G$2),N(M$2)&lt;N($E84))," ",""))</f>
        <v/>
      </c>
      <c r="N84" s="23">
        <f>IF(AND(COUNT($E84),N(N$2)=N($E84)),$E84,IF(AND(COUNT($E84),N(N$2)&gt;=N($G$2),N(N$2)&lt;N($E84))," ",""))</f>
        <v/>
      </c>
      <c r="O84" s="23">
        <f>IF(AND(COUNT($E84),N(O$2)=N($E84)),$E84,IF(AND(COUNT($E84),N(O$2)&gt;=N($G$2),N(O$2)&lt;N($E84))," ",""))</f>
        <v/>
      </c>
      <c r="P84" s="23">
        <f>IF(AND(COUNT($E84),N(P$2)=N($E84)),$E84,IF(AND(COUNT($E84),N(P$2)&gt;=N($G$2),N(P$2)&lt;N($E84))," ",""))</f>
        <v/>
      </c>
      <c r="Q84" s="23">
        <f>IF(AND(COUNT($E84),N(Q$2)=N($E84)),$E84,IF(AND(COUNT($E84),N(Q$2)&gt;=N($G$2),N(Q$2)&lt;N($E84))," ",""))</f>
        <v/>
      </c>
      <c r="R84" s="23">
        <f>IF(AND(COUNT($E84),N(R$2)=N($E84)),$E84,IF(AND(COUNT($E84),N(R$2)&gt;=N($G$2),N(R$2)&lt;N($E84))," ",""))</f>
        <v/>
      </c>
      <c r="S84" s="23">
        <f>IF(AND(COUNT($E84),N(S$2)=N($E84)),$E84,IF(AND(COUNT($E84),N(S$2)&gt;=N($G$2),N(S$2)&lt;N($E84))," ",""))</f>
        <v/>
      </c>
      <c r="T84" s="23">
        <f>IF(AND(COUNT($E84),N(T$2)=N($E84)),$E84,IF(AND(COUNT($E84),N(T$2)&gt;=N($G$2),N(T$2)&lt;N($E84))," ",""))</f>
        <v/>
      </c>
      <c r="U84" s="23">
        <f>IF(AND(COUNT($E84),N(U$2)=N($E84)),$E84,IF(AND(COUNT($E84),N(U$2)&gt;=N($G$2),N(U$2)&lt;N($E84))," ",""))</f>
        <v/>
      </c>
      <c r="V84" s="23">
        <f>IF(AND(COUNT($E84),N(V$2)=N($E84)),$E84,IF(AND(COUNT($E84),N(V$2)&gt;=N($G$2),N(V$2)&lt;N($E84))," ",""))</f>
        <v/>
      </c>
      <c r="W84" s="23">
        <f>IF(AND(COUNT($E84),N(W$2)=N($E84)),$E84,IF(AND(COUNT($E84),N(W$2)&gt;=N($G$2),N(W$2)&lt;N($E84))," ",""))</f>
        <v/>
      </c>
      <c r="X84" s="23">
        <f>IF(AND(COUNT($E84),N(X$2)=N($E84)),$E84,IF(AND(COUNT($E84),N(X$2)&gt;=N($G$2),N(X$2)&lt;N($E84))," ",""))</f>
        <v/>
      </c>
      <c r="Y84" s="23">
        <f>IF(AND(COUNT($E84),N(Y$2)=N($E84)),$E84,IF(AND(COUNT($E84),N(Y$2)&gt;=N($G$2),N(Y$2)&lt;N($E84))," ",""))</f>
        <v/>
      </c>
      <c r="Z84" s="23">
        <f>IF(AND(COUNT($E84),N(Z$2)=N($E84)),$E84,IF(AND(COUNT($E84),N(Z$2)&gt;=N($G$2),N(Z$2)&lt;N($E84))," ",""))</f>
        <v/>
      </c>
      <c r="AA84" s="23">
        <f>IF(AND(COUNT($E84),N(AA$2)=N($E84)),$E84,IF(AND(COUNT($E84),N(AA$2)&gt;=N($G$2),N(AA$2)&lt;N($E84))," ",""))</f>
        <v/>
      </c>
      <c r="AB84" s="23">
        <f>IF(AND(COUNT($E84),N(AB$2)=N($E84)),$E84,IF(AND(COUNT($E84),N(AB$2)&gt;=N($G$2),N(AB$2)&lt;N($E84))," ",""))</f>
        <v/>
      </c>
      <c r="AC84" s="23">
        <f>IF(AND(COUNT($E84),N(AC$2)=N($E84)),$E84,IF(AND(COUNT($E84),N(AC$2)&gt;=N($G$2),N(AC$2)&lt;N($E84))," ",""))</f>
        <v/>
      </c>
      <c r="AD84" s="23">
        <f>IF(AND(COUNT($E84),N(AD$2)=N($E84)),$E84,IF(AND(COUNT($E84),N(AD$2)&gt;=N($G$2),N(AD$2)&lt;N($E84))," ",""))</f>
        <v/>
      </c>
      <c r="AE84" s="23">
        <f>IF(AND(COUNT($E84),N(AE$2)=N($E84)),$E84,IF(AND(COUNT($E84),N(AE$2)&gt;=N($G$2),N(AE$2)&lt;N($E84))," ",""))</f>
        <v/>
      </c>
      <c r="AF84" s="23">
        <f>IF(AND(COUNT($E84),N(AF$2)=N($E84)),$E84,IF(AND(COUNT($E84),N(AF$2)&gt;=N($G$2),N(AF$2)&lt;N($E84))," ",""))</f>
        <v/>
      </c>
      <c r="AG84" s="23">
        <f>IF(AND(COUNT($E84),N(AG$2)=N($E84)),$E84,IF(AND(COUNT($E84),N(AG$2)&gt;=N($G$2),N(AG$2)&lt;N($E84))," ",""))</f>
        <v/>
      </c>
      <c r="AH84" s="23">
        <f>IF(AND(COUNT($E84),N(AH$2)=N($E84)),$E84,IF(AND(COUNT($E84),N(AH$2)&gt;=N($G$2),N(AH$2)&lt;N($E84))," ",""))</f>
        <v/>
      </c>
      <c r="AI84" s="23">
        <f>IF(AND(COUNT($E84),N(AI$2)=N($E84)),$E84,IF(AND(COUNT($E84),N(AI$2)&gt;=N($G$2),N(AI$2)&lt;N($E84))," ",""))</f>
        <v/>
      </c>
      <c r="AJ84" s="23">
        <f>IF(AND(COUNT($E84),N(AJ$2)=N($E84)),$E84,IF(AND(COUNT($E84),N(AJ$2)&gt;=N($G$2),N(AJ$2)&lt;N($E84))," ",""))</f>
        <v/>
      </c>
      <c r="AK84" s="23">
        <f>IF(AND(COUNT($E84),N(AK$2)=N($E84)),$E84,IF(AND(COUNT($E84),N(AK$2)&gt;=N($G$2),N(AK$2)&lt;N($E84))," ",""))</f>
        <v/>
      </c>
      <c r="AL84" s="23">
        <f>IF(AND(COUNT($E84),N(AL$2)=N($E84)),$E84,IF(AND(COUNT($E84),N(AL$2)&gt;=N($G$2),N(AL$2)&lt;N($E84))," ",""))</f>
        <v/>
      </c>
      <c r="AM84" s="23">
        <f>IF(AND(COUNT($E84),N(AM$2)=N($E84)),$E84,IF(AND(COUNT($E84),N(AM$2)&gt;=N($G$2),N(AM$2)&lt;N($E84))," ",""))</f>
        <v/>
      </c>
      <c r="AN84" s="23">
        <f>IF(AND(COUNT($E84),N(AN$2)=N($E84)),$E84,IF(AND(COUNT($E84),N(AN$2)&gt;=N($G$2),N(AN$2)&lt;N($E84))," ",""))</f>
        <v/>
      </c>
      <c r="AO84" s="23">
        <f>IF(AND(COUNT($E84),N(AO$2)=N($E84)),$E84,IF(AND(COUNT($E84),N(AO$2)&gt;=N($G$2),N(AO$2)&lt;N($E84))," ",""))</f>
        <v/>
      </c>
      <c r="AP84" s="23">
        <f>IF(AND(COUNT($E84),N(AP$2)=N($E84)),$E84,IF(AND(COUNT($E84),N(AP$2)&gt;=N($G$2),N(AP$2)&lt;N($E84))," ",""))</f>
        <v/>
      </c>
      <c r="AQ84" s="23">
        <f>IF(AND(COUNT($E84),N(AQ$2)=N($E84)),$E84,IF(AND(COUNT($E84),N(AQ$2)&gt;=N($G$2),N(AQ$2)&lt;N($E84))," ",""))</f>
        <v/>
      </c>
      <c r="AR84" s="23">
        <f>IF(AND(COUNT($E84),N(AR$2)=N($E84)),$E84,IF(AND(COUNT($E84),N(AR$2)&gt;=N($G$2),N(AR$2)&lt;N($E84))," ",""))</f>
        <v/>
      </c>
      <c r="AS84" s="23">
        <f>IF(AND(COUNT($E84),N(AS$2)=N($E84)),$E84,IF(AND(COUNT($E84),N(AS$2)&gt;=N($G$2),N(AS$2)&lt;N($E84))," ",""))</f>
        <v/>
      </c>
      <c r="AT84" s="23">
        <f>IF(AND(COUNT($E84),N(AT$2)=N($E84)),$E84,IF(AND(COUNT($E84),N(AT$2)&gt;=N($G$2),N(AT$2)&lt;N($E84))," ",""))</f>
        <v/>
      </c>
      <c r="AU84" s="23">
        <f>IF(AND(COUNT($E84),N(AU$2)=N($E84)),$E84,IF(AND(COUNT($E84),N(AU$2)&gt;=N($G$2),N(AU$2)&lt;N($E84))," ",""))</f>
        <v/>
      </c>
      <c r="AV84" s="23">
        <f>IF(AND(COUNT($E84),N(AV$2)=N($E84)),$E84,IF(AND(COUNT($E84),N(AV$2)&gt;=N($G$2),N(AV$2)&lt;N($E84))," ",""))</f>
        <v/>
      </c>
      <c r="AW84" s="23">
        <f>IF(AND(COUNT($E84),N(AW$2)=N($E84)),$E84,IF(AND(COUNT($E84),N(AW$2)&gt;=N($G$2),N(AW$2)&lt;N($E84))," ",""))</f>
        <v/>
      </c>
      <c r="AX84" s="23">
        <f>IF(AND(COUNT($E84),N(AX$2)=N($E84)),$E84,IF(AND(COUNT($E84),N(AX$2)&gt;=N($G$2),N(AX$2)&lt;N($E84))," ",""))</f>
        <v/>
      </c>
      <c r="AY84" s="23">
        <f>IF(AND(COUNT($E84),N(AY$2)=N($E84)),$E84,IF(AND(COUNT($E84),N(AY$2)&gt;=N($G$2),N(AY$2)&lt;N($E84))," ",""))</f>
        <v/>
      </c>
      <c r="AZ84" s="23">
        <f>IF(AND(COUNT($E84),N(AZ$2)=N($E84)),$E84,IF(AND(COUNT($E84),N(AZ$2)&gt;=N($G$2),N(AZ$2)&lt;N($E84))," ",""))</f>
        <v/>
      </c>
      <c r="BA84" s="23">
        <f>IF(AND(COUNT($E84),N(BA$2)=N($E84)),$E84,IF(AND(COUNT($E84),N(BA$2)&gt;=N($G$2),N(BA$2)&lt;N($E84))," ",""))</f>
        <v/>
      </c>
      <c r="BB84" s="23">
        <f>IF(AND(COUNT($E84),N(BB$2)=N($E84)),$E84,IF(AND(COUNT($E84),N(BB$2)&gt;=N($G$2),N(BB$2)&lt;N($E84))," ",""))</f>
        <v/>
      </c>
      <c r="BC84" s="23">
        <f>IF(AND(COUNT($E84),N(BC$2)=N($E84)),$E84,IF(AND(COUNT($E84),N(BC$2)&gt;=N($G$2),N(BC$2)&lt;N($E84))," ",""))</f>
        <v/>
      </c>
      <c r="BD84" s="23">
        <f>IF(AND(COUNT($E84),N(BD$2)=N($E84)),$E84,IF(AND(COUNT($E84),N(BD$2)&gt;=N($G$2),N(BD$2)&lt;N($E84))," ",""))</f>
        <v/>
      </c>
      <c r="BE84" s="23">
        <f>IF(AND(COUNT($E84),N(BE$2)=N($E84)),$E84,IF(AND(COUNT($E84),N(BE$2)&gt;=N($G$2),N(BE$2)&lt;N($E84))," ",""))</f>
        <v/>
      </c>
      <c r="BF84" s="23">
        <f>IF(AND(COUNT($E84),N(BF$2)=N($E84)),$E84,IF(AND(COUNT($E84),N(BF$2)&gt;=N($G$2),N(BF$2)&lt;N($E84))," ",""))</f>
        <v/>
      </c>
      <c r="BG84" s="23">
        <f>IF(AND(COUNT($E84),N(BG$2)=N($E84)),$E84,IF(AND(COUNT($E84),N(BG$2)&gt;=N($G$2),N(BG$2)&lt;N($E84))," ",""))</f>
        <v/>
      </c>
      <c r="BH84" s="23">
        <f>IF(AND(COUNT($E84),N(BH$2)=N($E84)),$E84,IF(AND(COUNT($E84),N(BH$2)&gt;=N($G$2),N(BH$2)&lt;N($E84))," ",""))</f>
        <v/>
      </c>
      <c r="BI84" s="23">
        <f>IF(AND(COUNT($E84),N(BI$2)=N($E84)),$E84,IF(AND(COUNT($E84),N(BI$2)&gt;=N($G$2),N(BI$2)&lt;N($E84))," ",""))</f>
        <v/>
      </c>
      <c r="BJ84" s="23">
        <f>IF(AND(COUNT($E84),N(BJ$2)=N($E84)),$E84,IF(AND(COUNT($E84),N(BJ$2)&gt;=N($G$2),N(BJ$2)&lt;N($E84))," ",""))</f>
        <v/>
      </c>
      <c r="BK84" s="23">
        <f>IF(AND(COUNT($E84),N(BK$2)=N($E84)),$E84,IF(AND(COUNT($E84),N(BK$2)&gt;=N($G$2),N(BK$2)&lt;N($E84))," ",""))</f>
        <v/>
      </c>
      <c r="BL84" s="23">
        <f>IF(AND(COUNT($E84),N(BL$2)=N($E84)),$E84,IF(AND(COUNT($E84),N(BL$2)&gt;=N($G$2),N(BL$2)&lt;N($E84))," ",""))</f>
        <v/>
      </c>
      <c r="BM84" s="23">
        <f>IF(AND(COUNT($E84),N(BM$2)=N($E84)),$E84,IF(AND(COUNT($E84),N(BM$2)&gt;=N($G$2),N(BM$2)&lt;N($E84))," ",""))</f>
        <v/>
      </c>
      <c r="BN84" s="23">
        <f>IF(AND(COUNT($E84),N(BN$2)=N($E84)),$E84,IF(AND(COUNT($E84),N(BN$2)&gt;=N($G$2),N(BN$2)&lt;N($E84))," ",""))</f>
        <v/>
      </c>
      <c r="BO84" s="23">
        <f>IF(AND(COUNT($E84),N(BO$2)=N($E84)),$E84,IF(AND(COUNT($E84),N(BO$2)&gt;=N($G$2),N(BO$2)&lt;N($E84))," ",""))</f>
        <v/>
      </c>
      <c r="BP84" s="23">
        <f>IF(AND(COUNT($E84),N(BP$2)=N($E84)),$E84,IF(AND(COUNT($E84),N(BP$2)&gt;=N($G$2),N(BP$2)&lt;N($E84))," ",""))</f>
        <v/>
      </c>
      <c r="BQ84" s="23">
        <f>IF(AND(COUNT($E84),N(BQ$2)=N($E84)),$E84,IF(AND(COUNT($E84),N(BQ$2)&gt;=N($G$2),N(BQ$2)&lt;N($E84))," ",""))</f>
        <v/>
      </c>
      <c r="BR84" s="23">
        <f>IF(AND(COUNT($E84),N(BR$2)=N($E84)),$E84,IF(AND(COUNT($E84),N(BR$2)&gt;=N($G$2),N(BR$2)&lt;N($E84))," ",""))</f>
        <v/>
      </c>
      <c r="BS84" s="23">
        <f>IF(AND(COUNT($E84),N(BS$2)=N($E84)),$E84,IF(AND(COUNT($E84),N(BS$2)&gt;=N($G$2),N(BS$2)&lt;N($E84))," ",""))</f>
        <v/>
      </c>
    </row>
    <row r="85" ht="20" customHeight="1">
      <c r="A85" s="21" t="inlineStr">
        <is>
          <t>预估</t>
        </is>
      </c>
      <c r="B85" s="21" t="inlineStr">
        <is>
          <t>第二期</t>
        </is>
      </c>
      <c r="C85" s="22" t="inlineStr">
        <is>
          <t>PAB220·排针机安装调试</t>
        </is>
      </c>
      <c r="D85" s="23">
        <f>'时间节点计划表'!E43</f>
        <v/>
      </c>
      <c r="E85" s="23">
        <f>IF(COUNT('时间节点计划表'!F43),'时间节点计划表'!F43,"")</f>
        <v/>
      </c>
      <c r="F85" s="24" t="inlineStr"/>
      <c r="G85" s="25">
        <f>D85</f>
        <v/>
      </c>
      <c r="H85" s="26" t="n"/>
      <c r="I85" s="26" t="n"/>
      <c r="J85" s="26" t="n"/>
      <c r="K85" s="26" t="n"/>
      <c r="L85" s="26" t="n"/>
      <c r="M85" s="26" t="n"/>
      <c r="N85" s="26" t="n"/>
      <c r="O85" s="26" t="n"/>
      <c r="P85" s="26" t="n"/>
      <c r="Q85" s="26" t="n"/>
      <c r="R85" s="26" t="n"/>
      <c r="S85" s="26" t="n"/>
      <c r="T85" s="26" t="n"/>
      <c r="U85" s="26" t="n"/>
      <c r="V85" s="26" t="n"/>
      <c r="W85" s="26" t="n"/>
      <c r="X85" s="26" t="n"/>
      <c r="Y85" s="26" t="n"/>
      <c r="Z85" s="26" t="n"/>
      <c r="AA85" s="26" t="n"/>
      <c r="AB85" s="26" t="n"/>
      <c r="AC85" s="26" t="n"/>
      <c r="AD85" s="26" t="n"/>
      <c r="AE85" s="26" t="n"/>
      <c r="AF85" s="26" t="n"/>
      <c r="AG85" s="26" t="n"/>
      <c r="AH85" s="26" t="n"/>
      <c r="AI85" s="26" t="n"/>
      <c r="AJ85" s="26" t="n"/>
      <c r="AK85" s="26" t="n"/>
      <c r="AL85" s="26" t="n"/>
      <c r="AM85" s="26" t="n"/>
      <c r="AN85" s="26" t="n"/>
      <c r="AO85" s="26" t="n"/>
      <c r="AP85" s="26" t="n"/>
      <c r="AQ85" s="26" t="n"/>
      <c r="AR85" s="26" t="n"/>
      <c r="AS85" s="26" t="n"/>
      <c r="AT85" s="26" t="n"/>
      <c r="AU85" s="26" t="n"/>
      <c r="AV85" s="26" t="n"/>
      <c r="AW85" s="26" t="n"/>
      <c r="AX85" s="26" t="n"/>
      <c r="AY85" s="26" t="n"/>
      <c r="AZ85" s="26" t="n"/>
      <c r="BA85" s="26" t="n"/>
      <c r="BB85" s="26" t="n"/>
      <c r="BC85" s="26" t="n"/>
      <c r="BD85" s="26" t="n"/>
      <c r="BE85" s="26" t="n"/>
      <c r="BF85" s="26" t="n"/>
      <c r="BG85" s="26" t="n"/>
      <c r="BH85" s="26" t="n"/>
      <c r="BI85" s="26" t="n"/>
      <c r="BJ85" s="26" t="n"/>
      <c r="BK85" s="26" t="n"/>
      <c r="BL85" s="26" t="n"/>
      <c r="BM85" s="26" t="n"/>
      <c r="BN85" s="26" t="n"/>
      <c r="BO85" s="26" t="n"/>
      <c r="BP85" s="27" t="n"/>
      <c r="BQ85" s="28" t="n"/>
      <c r="BR85" s="28" t="n"/>
      <c r="BS85" s="28" t="n"/>
    </row>
    <row r="86" ht="20" customHeight="1">
      <c r="A86" s="29" t="inlineStr">
        <is>
          <t>实际</t>
        </is>
      </c>
      <c r="B86" s="29" t="inlineStr">
        <is>
          <t>第二期</t>
        </is>
      </c>
      <c r="C86" s="30" t="inlineStr">
        <is>
          <t>PAB220·排针机安装调试</t>
        </is>
      </c>
      <c r="D86" s="31">
        <f>'时间节点计划表'!E43</f>
        <v/>
      </c>
      <c r="E86" s="31">
        <f>IF(COUNT('时间节点计划表'!F43),'时间节点计划表'!F43,"")</f>
        <v/>
      </c>
      <c r="F86" s="32">
        <f>IF(OR(D86="",E86=""),"待填",E86-D86)</f>
        <v/>
      </c>
      <c r="G86" s="23">
        <f>IF(AND(COUNT($E86),N(G$2)=N($E86)),$E86,IF(AND(COUNT($E86),N(G$2)&gt;=N($G$2),N(G$2)&lt;N($E86))," ",""))</f>
        <v/>
      </c>
      <c r="H86" s="23">
        <f>IF(AND(COUNT($E86),N(H$2)=N($E86)),$E86,IF(AND(COUNT($E86),N(H$2)&gt;=N($G$2),N(H$2)&lt;N($E86))," ",""))</f>
        <v/>
      </c>
      <c r="I86" s="23">
        <f>IF(AND(COUNT($E86),N(I$2)=N($E86)),$E86,IF(AND(COUNT($E86),N(I$2)&gt;=N($G$2),N(I$2)&lt;N($E86))," ",""))</f>
        <v/>
      </c>
      <c r="J86" s="23">
        <f>IF(AND(COUNT($E86),N(J$2)=N($E86)),$E86,IF(AND(COUNT($E86),N(J$2)&gt;=N($G$2),N(J$2)&lt;N($E86))," ",""))</f>
        <v/>
      </c>
      <c r="K86" s="23">
        <f>IF(AND(COUNT($E86),N(K$2)=N($E86)),$E86,IF(AND(COUNT($E86),N(K$2)&gt;=N($G$2),N(K$2)&lt;N($E86))," ",""))</f>
        <v/>
      </c>
      <c r="L86" s="23">
        <f>IF(AND(COUNT($E86),N(L$2)=N($E86)),$E86,IF(AND(COUNT($E86),N(L$2)&gt;=N($G$2),N(L$2)&lt;N($E86))," ",""))</f>
        <v/>
      </c>
      <c r="M86" s="23">
        <f>IF(AND(COUNT($E86),N(M$2)=N($E86)),$E86,IF(AND(COUNT($E86),N(M$2)&gt;=N($G$2),N(M$2)&lt;N($E86))," ",""))</f>
        <v/>
      </c>
      <c r="N86" s="23">
        <f>IF(AND(COUNT($E86),N(N$2)=N($E86)),$E86,IF(AND(COUNT($E86),N(N$2)&gt;=N($G$2),N(N$2)&lt;N($E86))," ",""))</f>
        <v/>
      </c>
      <c r="O86" s="23">
        <f>IF(AND(COUNT($E86),N(O$2)=N($E86)),$E86,IF(AND(COUNT($E86),N(O$2)&gt;=N($G$2),N(O$2)&lt;N($E86))," ",""))</f>
        <v/>
      </c>
      <c r="P86" s="23">
        <f>IF(AND(COUNT($E86),N(P$2)=N($E86)),$E86,IF(AND(COUNT($E86),N(P$2)&gt;=N($G$2),N(P$2)&lt;N($E86))," ",""))</f>
        <v/>
      </c>
      <c r="Q86" s="23">
        <f>IF(AND(COUNT($E86),N(Q$2)=N($E86)),$E86,IF(AND(COUNT($E86),N(Q$2)&gt;=N($G$2),N(Q$2)&lt;N($E86))," ",""))</f>
        <v/>
      </c>
      <c r="R86" s="23">
        <f>IF(AND(COUNT($E86),N(R$2)=N($E86)),$E86,IF(AND(COUNT($E86),N(R$2)&gt;=N($G$2),N(R$2)&lt;N($E86))," ",""))</f>
        <v/>
      </c>
      <c r="S86" s="23">
        <f>IF(AND(COUNT($E86),N(S$2)=N($E86)),$E86,IF(AND(COUNT($E86),N(S$2)&gt;=N($G$2),N(S$2)&lt;N($E86))," ",""))</f>
        <v/>
      </c>
      <c r="T86" s="23">
        <f>IF(AND(COUNT($E86),N(T$2)=N($E86)),$E86,IF(AND(COUNT($E86),N(T$2)&gt;=N($G$2),N(T$2)&lt;N($E86))," ",""))</f>
        <v/>
      </c>
      <c r="U86" s="23">
        <f>IF(AND(COUNT($E86),N(U$2)=N($E86)),$E86,IF(AND(COUNT($E86),N(U$2)&gt;=N($G$2),N(U$2)&lt;N($E86))," ",""))</f>
        <v/>
      </c>
      <c r="V86" s="23">
        <f>IF(AND(COUNT($E86),N(V$2)=N($E86)),$E86,IF(AND(COUNT($E86),N(V$2)&gt;=N($G$2),N(V$2)&lt;N($E86))," ",""))</f>
        <v/>
      </c>
      <c r="W86" s="23">
        <f>IF(AND(COUNT($E86),N(W$2)=N($E86)),$E86,IF(AND(COUNT($E86),N(W$2)&gt;=N($G$2),N(W$2)&lt;N($E86))," ",""))</f>
        <v/>
      </c>
      <c r="X86" s="23">
        <f>IF(AND(COUNT($E86),N(X$2)=N($E86)),$E86,IF(AND(COUNT($E86),N(X$2)&gt;=N($G$2),N(X$2)&lt;N($E86))," ",""))</f>
        <v/>
      </c>
      <c r="Y86" s="23">
        <f>IF(AND(COUNT($E86),N(Y$2)=N($E86)),$E86,IF(AND(COUNT($E86),N(Y$2)&gt;=N($G$2),N(Y$2)&lt;N($E86))," ",""))</f>
        <v/>
      </c>
      <c r="Z86" s="23">
        <f>IF(AND(COUNT($E86),N(Z$2)=N($E86)),$E86,IF(AND(COUNT($E86),N(Z$2)&gt;=N($G$2),N(Z$2)&lt;N($E86))," ",""))</f>
        <v/>
      </c>
      <c r="AA86" s="23">
        <f>IF(AND(COUNT($E86),N(AA$2)=N($E86)),$E86,IF(AND(COUNT($E86),N(AA$2)&gt;=N($G$2),N(AA$2)&lt;N($E86))," ",""))</f>
        <v/>
      </c>
      <c r="AB86" s="23">
        <f>IF(AND(COUNT($E86),N(AB$2)=N($E86)),$E86,IF(AND(COUNT($E86),N(AB$2)&gt;=N($G$2),N(AB$2)&lt;N($E86))," ",""))</f>
        <v/>
      </c>
      <c r="AC86" s="23">
        <f>IF(AND(COUNT($E86),N(AC$2)=N($E86)),$E86,IF(AND(COUNT($E86),N(AC$2)&gt;=N($G$2),N(AC$2)&lt;N($E86))," ",""))</f>
        <v/>
      </c>
      <c r="AD86" s="23">
        <f>IF(AND(COUNT($E86),N(AD$2)=N($E86)),$E86,IF(AND(COUNT($E86),N(AD$2)&gt;=N($G$2),N(AD$2)&lt;N($E86))," ",""))</f>
        <v/>
      </c>
      <c r="AE86" s="23">
        <f>IF(AND(COUNT($E86),N(AE$2)=N($E86)),$E86,IF(AND(COUNT($E86),N(AE$2)&gt;=N($G$2),N(AE$2)&lt;N($E86))," ",""))</f>
        <v/>
      </c>
      <c r="AF86" s="23">
        <f>IF(AND(COUNT($E86),N(AF$2)=N($E86)),$E86,IF(AND(COUNT($E86),N(AF$2)&gt;=N($G$2),N(AF$2)&lt;N($E86))," ",""))</f>
        <v/>
      </c>
      <c r="AG86" s="23">
        <f>IF(AND(COUNT($E86),N(AG$2)=N($E86)),$E86,IF(AND(COUNT($E86),N(AG$2)&gt;=N($G$2),N(AG$2)&lt;N($E86))," ",""))</f>
        <v/>
      </c>
      <c r="AH86" s="23">
        <f>IF(AND(COUNT($E86),N(AH$2)=N($E86)),$E86,IF(AND(COUNT($E86),N(AH$2)&gt;=N($G$2),N(AH$2)&lt;N($E86))," ",""))</f>
        <v/>
      </c>
      <c r="AI86" s="23">
        <f>IF(AND(COUNT($E86),N(AI$2)=N($E86)),$E86,IF(AND(COUNT($E86),N(AI$2)&gt;=N($G$2),N(AI$2)&lt;N($E86))," ",""))</f>
        <v/>
      </c>
      <c r="AJ86" s="23">
        <f>IF(AND(COUNT($E86),N(AJ$2)=N($E86)),$E86,IF(AND(COUNT($E86),N(AJ$2)&gt;=N($G$2),N(AJ$2)&lt;N($E86))," ",""))</f>
        <v/>
      </c>
      <c r="AK86" s="23">
        <f>IF(AND(COUNT($E86),N(AK$2)=N($E86)),$E86,IF(AND(COUNT($E86),N(AK$2)&gt;=N($G$2),N(AK$2)&lt;N($E86))," ",""))</f>
        <v/>
      </c>
      <c r="AL86" s="23">
        <f>IF(AND(COUNT($E86),N(AL$2)=N($E86)),$E86,IF(AND(COUNT($E86),N(AL$2)&gt;=N($G$2),N(AL$2)&lt;N($E86))," ",""))</f>
        <v/>
      </c>
      <c r="AM86" s="23">
        <f>IF(AND(COUNT($E86),N(AM$2)=N($E86)),$E86,IF(AND(COUNT($E86),N(AM$2)&gt;=N($G$2),N(AM$2)&lt;N($E86))," ",""))</f>
        <v/>
      </c>
      <c r="AN86" s="23">
        <f>IF(AND(COUNT($E86),N(AN$2)=N($E86)),$E86,IF(AND(COUNT($E86),N(AN$2)&gt;=N($G$2),N(AN$2)&lt;N($E86))," ",""))</f>
        <v/>
      </c>
      <c r="AO86" s="23">
        <f>IF(AND(COUNT($E86),N(AO$2)=N($E86)),$E86,IF(AND(COUNT($E86),N(AO$2)&gt;=N($G$2),N(AO$2)&lt;N($E86))," ",""))</f>
        <v/>
      </c>
      <c r="AP86" s="23">
        <f>IF(AND(COUNT($E86),N(AP$2)=N($E86)),$E86,IF(AND(COUNT($E86),N(AP$2)&gt;=N($G$2),N(AP$2)&lt;N($E86))," ",""))</f>
        <v/>
      </c>
      <c r="AQ86" s="23">
        <f>IF(AND(COUNT($E86),N(AQ$2)=N($E86)),$E86,IF(AND(COUNT($E86),N(AQ$2)&gt;=N($G$2),N(AQ$2)&lt;N($E86))," ",""))</f>
        <v/>
      </c>
      <c r="AR86" s="23">
        <f>IF(AND(COUNT($E86),N(AR$2)=N($E86)),$E86,IF(AND(COUNT($E86),N(AR$2)&gt;=N($G$2),N(AR$2)&lt;N($E86))," ",""))</f>
        <v/>
      </c>
      <c r="AS86" s="23">
        <f>IF(AND(COUNT($E86),N(AS$2)=N($E86)),$E86,IF(AND(COUNT($E86),N(AS$2)&gt;=N($G$2),N(AS$2)&lt;N($E86))," ",""))</f>
        <v/>
      </c>
      <c r="AT86" s="23">
        <f>IF(AND(COUNT($E86),N(AT$2)=N($E86)),$E86,IF(AND(COUNT($E86),N(AT$2)&gt;=N($G$2),N(AT$2)&lt;N($E86))," ",""))</f>
        <v/>
      </c>
      <c r="AU86" s="23">
        <f>IF(AND(COUNT($E86),N(AU$2)=N($E86)),$E86,IF(AND(COUNT($E86),N(AU$2)&gt;=N($G$2),N(AU$2)&lt;N($E86))," ",""))</f>
        <v/>
      </c>
      <c r="AV86" s="23">
        <f>IF(AND(COUNT($E86),N(AV$2)=N($E86)),$E86,IF(AND(COUNT($E86),N(AV$2)&gt;=N($G$2),N(AV$2)&lt;N($E86))," ",""))</f>
        <v/>
      </c>
      <c r="AW86" s="23">
        <f>IF(AND(COUNT($E86),N(AW$2)=N($E86)),$E86,IF(AND(COUNT($E86),N(AW$2)&gt;=N($G$2),N(AW$2)&lt;N($E86))," ",""))</f>
        <v/>
      </c>
      <c r="AX86" s="23">
        <f>IF(AND(COUNT($E86),N(AX$2)=N($E86)),$E86,IF(AND(COUNT($E86),N(AX$2)&gt;=N($G$2),N(AX$2)&lt;N($E86))," ",""))</f>
        <v/>
      </c>
      <c r="AY86" s="23">
        <f>IF(AND(COUNT($E86),N(AY$2)=N($E86)),$E86,IF(AND(COUNT($E86),N(AY$2)&gt;=N($G$2),N(AY$2)&lt;N($E86))," ",""))</f>
        <v/>
      </c>
      <c r="AZ86" s="23">
        <f>IF(AND(COUNT($E86),N(AZ$2)=N($E86)),$E86,IF(AND(COUNT($E86),N(AZ$2)&gt;=N($G$2),N(AZ$2)&lt;N($E86))," ",""))</f>
        <v/>
      </c>
      <c r="BA86" s="23">
        <f>IF(AND(COUNT($E86),N(BA$2)=N($E86)),$E86,IF(AND(COUNT($E86),N(BA$2)&gt;=N($G$2),N(BA$2)&lt;N($E86))," ",""))</f>
        <v/>
      </c>
      <c r="BB86" s="23">
        <f>IF(AND(COUNT($E86),N(BB$2)=N($E86)),$E86,IF(AND(COUNT($E86),N(BB$2)&gt;=N($G$2),N(BB$2)&lt;N($E86))," ",""))</f>
        <v/>
      </c>
      <c r="BC86" s="23">
        <f>IF(AND(COUNT($E86),N(BC$2)=N($E86)),$E86,IF(AND(COUNT($E86),N(BC$2)&gt;=N($G$2),N(BC$2)&lt;N($E86))," ",""))</f>
        <v/>
      </c>
      <c r="BD86" s="23">
        <f>IF(AND(COUNT($E86),N(BD$2)=N($E86)),$E86,IF(AND(COUNT($E86),N(BD$2)&gt;=N($G$2),N(BD$2)&lt;N($E86))," ",""))</f>
        <v/>
      </c>
      <c r="BE86" s="23">
        <f>IF(AND(COUNT($E86),N(BE$2)=N($E86)),$E86,IF(AND(COUNT($E86),N(BE$2)&gt;=N($G$2),N(BE$2)&lt;N($E86))," ",""))</f>
        <v/>
      </c>
      <c r="BF86" s="23">
        <f>IF(AND(COUNT($E86),N(BF$2)=N($E86)),$E86,IF(AND(COUNT($E86),N(BF$2)&gt;=N($G$2),N(BF$2)&lt;N($E86))," ",""))</f>
        <v/>
      </c>
      <c r="BG86" s="23">
        <f>IF(AND(COUNT($E86),N(BG$2)=N($E86)),$E86,IF(AND(COUNT($E86),N(BG$2)&gt;=N($G$2),N(BG$2)&lt;N($E86))," ",""))</f>
        <v/>
      </c>
      <c r="BH86" s="23">
        <f>IF(AND(COUNT($E86),N(BH$2)=N($E86)),$E86,IF(AND(COUNT($E86),N(BH$2)&gt;=N($G$2),N(BH$2)&lt;N($E86))," ",""))</f>
        <v/>
      </c>
      <c r="BI86" s="23">
        <f>IF(AND(COUNT($E86),N(BI$2)=N($E86)),$E86,IF(AND(COUNT($E86),N(BI$2)&gt;=N($G$2),N(BI$2)&lt;N($E86))," ",""))</f>
        <v/>
      </c>
      <c r="BJ86" s="23">
        <f>IF(AND(COUNT($E86),N(BJ$2)=N($E86)),$E86,IF(AND(COUNT($E86),N(BJ$2)&gt;=N($G$2),N(BJ$2)&lt;N($E86))," ",""))</f>
        <v/>
      </c>
      <c r="BK86" s="23">
        <f>IF(AND(COUNT($E86),N(BK$2)=N($E86)),$E86,IF(AND(COUNT($E86),N(BK$2)&gt;=N($G$2),N(BK$2)&lt;N($E86))," ",""))</f>
        <v/>
      </c>
      <c r="BL86" s="23">
        <f>IF(AND(COUNT($E86),N(BL$2)=N($E86)),$E86,IF(AND(COUNT($E86),N(BL$2)&gt;=N($G$2),N(BL$2)&lt;N($E86))," ",""))</f>
        <v/>
      </c>
      <c r="BM86" s="23">
        <f>IF(AND(COUNT($E86),N(BM$2)=N($E86)),$E86,IF(AND(COUNT($E86),N(BM$2)&gt;=N($G$2),N(BM$2)&lt;N($E86))," ",""))</f>
        <v/>
      </c>
      <c r="BN86" s="23">
        <f>IF(AND(COUNT($E86),N(BN$2)=N($E86)),$E86,IF(AND(COUNT($E86),N(BN$2)&gt;=N($G$2),N(BN$2)&lt;N($E86))," ",""))</f>
        <v/>
      </c>
      <c r="BO86" s="23">
        <f>IF(AND(COUNT($E86),N(BO$2)=N($E86)),$E86,IF(AND(COUNT($E86),N(BO$2)&gt;=N($G$2),N(BO$2)&lt;N($E86))," ",""))</f>
        <v/>
      </c>
      <c r="BP86" s="23">
        <f>IF(AND(COUNT($E86),N(BP$2)=N($E86)),$E86,IF(AND(COUNT($E86),N(BP$2)&gt;=N($G$2),N(BP$2)&lt;N($E86))," ",""))</f>
        <v/>
      </c>
      <c r="BQ86" s="23">
        <f>IF(AND(COUNT($E86),N(BQ$2)=N($E86)),$E86,IF(AND(COUNT($E86),N(BQ$2)&gt;=N($G$2),N(BQ$2)&lt;N($E86))," ",""))</f>
        <v/>
      </c>
      <c r="BR86" s="23">
        <f>IF(AND(COUNT($E86),N(BR$2)=N($E86)),$E86,IF(AND(COUNT($E86),N(BR$2)&gt;=N($G$2),N(BR$2)&lt;N($E86))," ",""))</f>
        <v/>
      </c>
      <c r="BS86" s="23">
        <f>IF(AND(COUNT($E86),N(BS$2)=N($E86)),$E86,IF(AND(COUNT($E86),N(BS$2)&gt;=N($G$2),N(BS$2)&lt;N($E86))," ",""))</f>
        <v/>
      </c>
    </row>
    <row r="87" ht="20" customHeight="1">
      <c r="A87" s="21" t="inlineStr">
        <is>
          <t>预估</t>
        </is>
      </c>
      <c r="B87" s="21" t="inlineStr">
        <is>
          <t>第二期</t>
        </is>
      </c>
      <c r="C87" s="22" t="inlineStr">
        <is>
          <t>PAB220·单级样机</t>
        </is>
      </c>
      <c r="D87" s="23">
        <f>'时间节点计划表'!E44</f>
        <v/>
      </c>
      <c r="E87" s="23">
        <f>IF(COUNT('时间节点计划表'!F44),'时间节点计划表'!F44,"")</f>
        <v/>
      </c>
      <c r="F87" s="24" t="inlineStr"/>
      <c r="G87" s="25">
        <f>D87</f>
        <v/>
      </c>
      <c r="H87" s="26" t="n"/>
      <c r="I87" s="26" t="n"/>
      <c r="J87" s="26" t="n"/>
      <c r="K87" s="26" t="n"/>
      <c r="L87" s="26" t="n"/>
      <c r="M87" s="26" t="n"/>
      <c r="N87" s="26" t="n"/>
      <c r="O87" s="26" t="n"/>
      <c r="P87" s="26" t="n"/>
      <c r="Q87" s="26" t="n"/>
      <c r="R87" s="26" t="n"/>
      <c r="S87" s="26" t="n"/>
      <c r="T87" s="26" t="n"/>
      <c r="U87" s="26" t="n"/>
      <c r="V87" s="26" t="n"/>
      <c r="W87" s="26" t="n"/>
      <c r="X87" s="26" t="n"/>
      <c r="Y87" s="26" t="n"/>
      <c r="Z87" s="26" t="n"/>
      <c r="AA87" s="26" t="n"/>
      <c r="AB87" s="26" t="n"/>
      <c r="AC87" s="26" t="n"/>
      <c r="AD87" s="26" t="n"/>
      <c r="AE87" s="26" t="n"/>
      <c r="AF87" s="26" t="n"/>
      <c r="AG87" s="26" t="n"/>
      <c r="AH87" s="26" t="n"/>
      <c r="AI87" s="26" t="n"/>
      <c r="AJ87" s="26" t="n"/>
      <c r="AK87" s="26" t="n"/>
      <c r="AL87" s="26" t="n"/>
      <c r="AM87" s="26" t="n"/>
      <c r="AN87" s="26" t="n"/>
      <c r="AO87" s="26" t="n"/>
      <c r="AP87" s="26" t="n"/>
      <c r="AQ87" s="26" t="n"/>
      <c r="AR87" s="26" t="n"/>
      <c r="AS87" s="26" t="n"/>
      <c r="AT87" s="26" t="n"/>
      <c r="AU87" s="26" t="n"/>
      <c r="AV87" s="26" t="n"/>
      <c r="AW87" s="26" t="n"/>
      <c r="AX87" s="26" t="n"/>
      <c r="AY87" s="26" t="n"/>
      <c r="AZ87" s="26" t="n"/>
      <c r="BA87" s="26" t="n"/>
      <c r="BB87" s="26" t="n"/>
      <c r="BC87" s="26" t="n"/>
      <c r="BD87" s="26" t="n"/>
      <c r="BE87" s="26" t="n"/>
      <c r="BF87" s="26" t="n"/>
      <c r="BG87" s="26" t="n"/>
      <c r="BH87" s="26" t="n"/>
      <c r="BI87" s="26" t="n"/>
      <c r="BJ87" s="26" t="n"/>
      <c r="BK87" s="26" t="n"/>
      <c r="BL87" s="26" t="n"/>
      <c r="BM87" s="26" t="n"/>
      <c r="BN87" s="26" t="n"/>
      <c r="BO87" s="26" t="n"/>
      <c r="BP87" s="26" t="n"/>
      <c r="BQ87" s="27" t="n"/>
      <c r="BR87" s="28" t="n"/>
      <c r="BS87" s="28" t="n"/>
    </row>
    <row r="88" ht="20" customHeight="1">
      <c r="A88" s="29" t="inlineStr">
        <is>
          <t>实际</t>
        </is>
      </c>
      <c r="B88" s="29" t="inlineStr">
        <is>
          <t>第二期</t>
        </is>
      </c>
      <c r="C88" s="30" t="inlineStr">
        <is>
          <t>PAB220·单级样机</t>
        </is>
      </c>
      <c r="D88" s="31">
        <f>'时间节点计划表'!E44</f>
        <v/>
      </c>
      <c r="E88" s="31">
        <f>IF(COUNT('时间节点计划表'!F44),'时间节点计划表'!F44,"")</f>
        <v/>
      </c>
      <c r="F88" s="32">
        <f>IF(OR(D88="",E88=""),"待填",E88-D88)</f>
        <v/>
      </c>
      <c r="G88" s="23">
        <f>IF(AND(COUNT($E88),N(G$2)=N($E88)),$E88,IF(AND(COUNT($E88),N(G$2)&gt;=N($G$2),N(G$2)&lt;N($E88))," ",""))</f>
        <v/>
      </c>
      <c r="H88" s="23">
        <f>IF(AND(COUNT($E88),N(H$2)=N($E88)),$E88,IF(AND(COUNT($E88),N(H$2)&gt;=N($G$2),N(H$2)&lt;N($E88))," ",""))</f>
        <v/>
      </c>
      <c r="I88" s="23">
        <f>IF(AND(COUNT($E88),N(I$2)=N($E88)),$E88,IF(AND(COUNT($E88),N(I$2)&gt;=N($G$2),N(I$2)&lt;N($E88))," ",""))</f>
        <v/>
      </c>
      <c r="J88" s="23">
        <f>IF(AND(COUNT($E88),N(J$2)=N($E88)),$E88,IF(AND(COUNT($E88),N(J$2)&gt;=N($G$2),N(J$2)&lt;N($E88))," ",""))</f>
        <v/>
      </c>
      <c r="K88" s="23">
        <f>IF(AND(COUNT($E88),N(K$2)=N($E88)),$E88,IF(AND(COUNT($E88),N(K$2)&gt;=N($G$2),N(K$2)&lt;N($E88))," ",""))</f>
        <v/>
      </c>
      <c r="L88" s="23">
        <f>IF(AND(COUNT($E88),N(L$2)=N($E88)),$E88,IF(AND(COUNT($E88),N(L$2)&gt;=N($G$2),N(L$2)&lt;N($E88))," ",""))</f>
        <v/>
      </c>
      <c r="M88" s="23">
        <f>IF(AND(COUNT($E88),N(M$2)=N($E88)),$E88,IF(AND(COUNT($E88),N(M$2)&gt;=N($G$2),N(M$2)&lt;N($E88))," ",""))</f>
        <v/>
      </c>
      <c r="N88" s="23">
        <f>IF(AND(COUNT($E88),N(N$2)=N($E88)),$E88,IF(AND(COUNT($E88),N(N$2)&gt;=N($G$2),N(N$2)&lt;N($E88))," ",""))</f>
        <v/>
      </c>
      <c r="O88" s="23">
        <f>IF(AND(COUNT($E88),N(O$2)=N($E88)),$E88,IF(AND(COUNT($E88),N(O$2)&gt;=N($G$2),N(O$2)&lt;N($E88))," ",""))</f>
        <v/>
      </c>
      <c r="P88" s="23">
        <f>IF(AND(COUNT($E88),N(P$2)=N($E88)),$E88,IF(AND(COUNT($E88),N(P$2)&gt;=N($G$2),N(P$2)&lt;N($E88))," ",""))</f>
        <v/>
      </c>
      <c r="Q88" s="23">
        <f>IF(AND(COUNT($E88),N(Q$2)=N($E88)),$E88,IF(AND(COUNT($E88),N(Q$2)&gt;=N($G$2),N(Q$2)&lt;N($E88))," ",""))</f>
        <v/>
      </c>
      <c r="R88" s="23">
        <f>IF(AND(COUNT($E88),N(R$2)=N($E88)),$E88,IF(AND(COUNT($E88),N(R$2)&gt;=N($G$2),N(R$2)&lt;N($E88))," ",""))</f>
        <v/>
      </c>
      <c r="S88" s="23">
        <f>IF(AND(COUNT($E88),N(S$2)=N($E88)),$E88,IF(AND(COUNT($E88),N(S$2)&gt;=N($G$2),N(S$2)&lt;N($E88))," ",""))</f>
        <v/>
      </c>
      <c r="T88" s="23">
        <f>IF(AND(COUNT($E88),N(T$2)=N($E88)),$E88,IF(AND(COUNT($E88),N(T$2)&gt;=N($G$2),N(T$2)&lt;N($E88))," ",""))</f>
        <v/>
      </c>
      <c r="U88" s="23">
        <f>IF(AND(COUNT($E88),N(U$2)=N($E88)),$E88,IF(AND(COUNT($E88),N(U$2)&gt;=N($G$2),N(U$2)&lt;N($E88))," ",""))</f>
        <v/>
      </c>
      <c r="V88" s="23">
        <f>IF(AND(COUNT($E88),N(V$2)=N($E88)),$E88,IF(AND(COUNT($E88),N(V$2)&gt;=N($G$2),N(V$2)&lt;N($E88))," ",""))</f>
        <v/>
      </c>
      <c r="W88" s="23">
        <f>IF(AND(COUNT($E88),N(W$2)=N($E88)),$E88,IF(AND(COUNT($E88),N(W$2)&gt;=N($G$2),N(W$2)&lt;N($E88))," ",""))</f>
        <v/>
      </c>
      <c r="X88" s="23">
        <f>IF(AND(COUNT($E88),N(X$2)=N($E88)),$E88,IF(AND(COUNT($E88),N(X$2)&gt;=N($G$2),N(X$2)&lt;N($E88))," ",""))</f>
        <v/>
      </c>
      <c r="Y88" s="23">
        <f>IF(AND(COUNT($E88),N(Y$2)=N($E88)),$E88,IF(AND(COUNT($E88),N(Y$2)&gt;=N($G$2),N(Y$2)&lt;N($E88))," ",""))</f>
        <v/>
      </c>
      <c r="Z88" s="23">
        <f>IF(AND(COUNT($E88),N(Z$2)=N($E88)),$E88,IF(AND(COUNT($E88),N(Z$2)&gt;=N($G$2),N(Z$2)&lt;N($E88))," ",""))</f>
        <v/>
      </c>
      <c r="AA88" s="23">
        <f>IF(AND(COUNT($E88),N(AA$2)=N($E88)),$E88,IF(AND(COUNT($E88),N(AA$2)&gt;=N($G$2),N(AA$2)&lt;N($E88))," ",""))</f>
        <v/>
      </c>
      <c r="AB88" s="23">
        <f>IF(AND(COUNT($E88),N(AB$2)=N($E88)),$E88,IF(AND(COUNT($E88),N(AB$2)&gt;=N($G$2),N(AB$2)&lt;N($E88))," ",""))</f>
        <v/>
      </c>
      <c r="AC88" s="23">
        <f>IF(AND(COUNT($E88),N(AC$2)=N($E88)),$E88,IF(AND(COUNT($E88),N(AC$2)&gt;=N($G$2),N(AC$2)&lt;N($E88))," ",""))</f>
        <v/>
      </c>
      <c r="AD88" s="23">
        <f>IF(AND(COUNT($E88),N(AD$2)=N($E88)),$E88,IF(AND(COUNT($E88),N(AD$2)&gt;=N($G$2),N(AD$2)&lt;N($E88))," ",""))</f>
        <v/>
      </c>
      <c r="AE88" s="23">
        <f>IF(AND(COUNT($E88),N(AE$2)=N($E88)),$E88,IF(AND(COUNT($E88),N(AE$2)&gt;=N($G$2),N(AE$2)&lt;N($E88))," ",""))</f>
        <v/>
      </c>
      <c r="AF88" s="23">
        <f>IF(AND(COUNT($E88),N(AF$2)=N($E88)),$E88,IF(AND(COUNT($E88),N(AF$2)&gt;=N($G$2),N(AF$2)&lt;N($E88))," ",""))</f>
        <v/>
      </c>
      <c r="AG88" s="23">
        <f>IF(AND(COUNT($E88),N(AG$2)=N($E88)),$E88,IF(AND(COUNT($E88),N(AG$2)&gt;=N($G$2),N(AG$2)&lt;N($E88))," ",""))</f>
        <v/>
      </c>
      <c r="AH88" s="23">
        <f>IF(AND(COUNT($E88),N(AH$2)=N($E88)),$E88,IF(AND(COUNT($E88),N(AH$2)&gt;=N($G$2),N(AH$2)&lt;N($E88))," ",""))</f>
        <v/>
      </c>
      <c r="AI88" s="23">
        <f>IF(AND(COUNT($E88),N(AI$2)=N($E88)),$E88,IF(AND(COUNT($E88),N(AI$2)&gt;=N($G$2),N(AI$2)&lt;N($E88))," ",""))</f>
        <v/>
      </c>
      <c r="AJ88" s="23">
        <f>IF(AND(COUNT($E88),N(AJ$2)=N($E88)),$E88,IF(AND(COUNT($E88),N(AJ$2)&gt;=N($G$2),N(AJ$2)&lt;N($E88))," ",""))</f>
        <v/>
      </c>
      <c r="AK88" s="23">
        <f>IF(AND(COUNT($E88),N(AK$2)=N($E88)),$E88,IF(AND(COUNT($E88),N(AK$2)&gt;=N($G$2),N(AK$2)&lt;N($E88))," ",""))</f>
        <v/>
      </c>
      <c r="AL88" s="23">
        <f>IF(AND(COUNT($E88),N(AL$2)=N($E88)),$E88,IF(AND(COUNT($E88),N(AL$2)&gt;=N($G$2),N(AL$2)&lt;N($E88))," ",""))</f>
        <v/>
      </c>
      <c r="AM88" s="23">
        <f>IF(AND(COUNT($E88),N(AM$2)=N($E88)),$E88,IF(AND(COUNT($E88),N(AM$2)&gt;=N($G$2),N(AM$2)&lt;N($E88))," ",""))</f>
        <v/>
      </c>
      <c r="AN88" s="23">
        <f>IF(AND(COUNT($E88),N(AN$2)=N($E88)),$E88,IF(AND(COUNT($E88),N(AN$2)&gt;=N($G$2),N(AN$2)&lt;N($E88))," ",""))</f>
        <v/>
      </c>
      <c r="AO88" s="23">
        <f>IF(AND(COUNT($E88),N(AO$2)=N($E88)),$E88,IF(AND(COUNT($E88),N(AO$2)&gt;=N($G$2),N(AO$2)&lt;N($E88))," ",""))</f>
        <v/>
      </c>
      <c r="AP88" s="23">
        <f>IF(AND(COUNT($E88),N(AP$2)=N($E88)),$E88,IF(AND(COUNT($E88),N(AP$2)&gt;=N($G$2),N(AP$2)&lt;N($E88))," ",""))</f>
        <v/>
      </c>
      <c r="AQ88" s="23">
        <f>IF(AND(COUNT($E88),N(AQ$2)=N($E88)),$E88,IF(AND(COUNT($E88),N(AQ$2)&gt;=N($G$2),N(AQ$2)&lt;N($E88))," ",""))</f>
        <v/>
      </c>
      <c r="AR88" s="23">
        <f>IF(AND(COUNT($E88),N(AR$2)=N($E88)),$E88,IF(AND(COUNT($E88),N(AR$2)&gt;=N($G$2),N(AR$2)&lt;N($E88))," ",""))</f>
        <v/>
      </c>
      <c r="AS88" s="23">
        <f>IF(AND(COUNT($E88),N(AS$2)=N($E88)),$E88,IF(AND(COUNT($E88),N(AS$2)&gt;=N($G$2),N(AS$2)&lt;N($E88))," ",""))</f>
        <v/>
      </c>
      <c r="AT88" s="23">
        <f>IF(AND(COUNT($E88),N(AT$2)=N($E88)),$E88,IF(AND(COUNT($E88),N(AT$2)&gt;=N($G$2),N(AT$2)&lt;N($E88))," ",""))</f>
        <v/>
      </c>
      <c r="AU88" s="23">
        <f>IF(AND(COUNT($E88),N(AU$2)=N($E88)),$E88,IF(AND(COUNT($E88),N(AU$2)&gt;=N($G$2),N(AU$2)&lt;N($E88))," ",""))</f>
        <v/>
      </c>
      <c r="AV88" s="23">
        <f>IF(AND(COUNT($E88),N(AV$2)=N($E88)),$E88,IF(AND(COUNT($E88),N(AV$2)&gt;=N($G$2),N(AV$2)&lt;N($E88))," ",""))</f>
        <v/>
      </c>
      <c r="AW88" s="23">
        <f>IF(AND(COUNT($E88),N(AW$2)=N($E88)),$E88,IF(AND(COUNT($E88),N(AW$2)&gt;=N($G$2),N(AW$2)&lt;N($E88))," ",""))</f>
        <v/>
      </c>
      <c r="AX88" s="23">
        <f>IF(AND(COUNT($E88),N(AX$2)=N($E88)),$E88,IF(AND(COUNT($E88),N(AX$2)&gt;=N($G$2),N(AX$2)&lt;N($E88))," ",""))</f>
        <v/>
      </c>
      <c r="AY88" s="23">
        <f>IF(AND(COUNT($E88),N(AY$2)=N($E88)),$E88,IF(AND(COUNT($E88),N(AY$2)&gt;=N($G$2),N(AY$2)&lt;N($E88))," ",""))</f>
        <v/>
      </c>
      <c r="AZ88" s="23">
        <f>IF(AND(COUNT($E88),N(AZ$2)=N($E88)),$E88,IF(AND(COUNT($E88),N(AZ$2)&gt;=N($G$2),N(AZ$2)&lt;N($E88))," ",""))</f>
        <v/>
      </c>
      <c r="BA88" s="23">
        <f>IF(AND(COUNT($E88),N(BA$2)=N($E88)),$E88,IF(AND(COUNT($E88),N(BA$2)&gt;=N($G$2),N(BA$2)&lt;N($E88))," ",""))</f>
        <v/>
      </c>
      <c r="BB88" s="23">
        <f>IF(AND(COUNT($E88),N(BB$2)=N($E88)),$E88,IF(AND(COUNT($E88),N(BB$2)&gt;=N($G$2),N(BB$2)&lt;N($E88))," ",""))</f>
        <v/>
      </c>
      <c r="BC88" s="23">
        <f>IF(AND(COUNT($E88),N(BC$2)=N($E88)),$E88,IF(AND(COUNT($E88),N(BC$2)&gt;=N($G$2),N(BC$2)&lt;N($E88))," ",""))</f>
        <v/>
      </c>
      <c r="BD88" s="23">
        <f>IF(AND(COUNT($E88),N(BD$2)=N($E88)),$E88,IF(AND(COUNT($E88),N(BD$2)&gt;=N($G$2),N(BD$2)&lt;N($E88))," ",""))</f>
        <v/>
      </c>
      <c r="BE88" s="23">
        <f>IF(AND(COUNT($E88),N(BE$2)=N($E88)),$E88,IF(AND(COUNT($E88),N(BE$2)&gt;=N($G$2),N(BE$2)&lt;N($E88))," ",""))</f>
        <v/>
      </c>
      <c r="BF88" s="23">
        <f>IF(AND(COUNT($E88),N(BF$2)=N($E88)),$E88,IF(AND(COUNT($E88),N(BF$2)&gt;=N($G$2),N(BF$2)&lt;N($E88))," ",""))</f>
        <v/>
      </c>
      <c r="BG88" s="23">
        <f>IF(AND(COUNT($E88),N(BG$2)=N($E88)),$E88,IF(AND(COUNT($E88),N(BG$2)&gt;=N($G$2),N(BG$2)&lt;N($E88))," ",""))</f>
        <v/>
      </c>
      <c r="BH88" s="23">
        <f>IF(AND(COUNT($E88),N(BH$2)=N($E88)),$E88,IF(AND(COUNT($E88),N(BH$2)&gt;=N($G$2),N(BH$2)&lt;N($E88))," ",""))</f>
        <v/>
      </c>
      <c r="BI88" s="23">
        <f>IF(AND(COUNT($E88),N(BI$2)=N($E88)),$E88,IF(AND(COUNT($E88),N(BI$2)&gt;=N($G$2),N(BI$2)&lt;N($E88))," ",""))</f>
        <v/>
      </c>
      <c r="BJ88" s="23">
        <f>IF(AND(COUNT($E88),N(BJ$2)=N($E88)),$E88,IF(AND(COUNT($E88),N(BJ$2)&gt;=N($G$2),N(BJ$2)&lt;N($E88))," ",""))</f>
        <v/>
      </c>
      <c r="BK88" s="23">
        <f>IF(AND(COUNT($E88),N(BK$2)=N($E88)),$E88,IF(AND(COUNT($E88),N(BK$2)&gt;=N($G$2),N(BK$2)&lt;N($E88))," ",""))</f>
        <v/>
      </c>
      <c r="BL88" s="23">
        <f>IF(AND(COUNT($E88),N(BL$2)=N($E88)),$E88,IF(AND(COUNT($E88),N(BL$2)&gt;=N($G$2),N(BL$2)&lt;N($E88))," ",""))</f>
        <v/>
      </c>
      <c r="BM88" s="23">
        <f>IF(AND(COUNT($E88),N(BM$2)=N($E88)),$E88,IF(AND(COUNT($E88),N(BM$2)&gt;=N($G$2),N(BM$2)&lt;N($E88))," ",""))</f>
        <v/>
      </c>
      <c r="BN88" s="23">
        <f>IF(AND(COUNT($E88),N(BN$2)=N($E88)),$E88,IF(AND(COUNT($E88),N(BN$2)&gt;=N($G$2),N(BN$2)&lt;N($E88))," ",""))</f>
        <v/>
      </c>
      <c r="BO88" s="23">
        <f>IF(AND(COUNT($E88),N(BO$2)=N($E88)),$E88,IF(AND(COUNT($E88),N(BO$2)&gt;=N($G$2),N(BO$2)&lt;N($E88))," ",""))</f>
        <v/>
      </c>
      <c r="BP88" s="23">
        <f>IF(AND(COUNT($E88),N(BP$2)=N($E88)),$E88,IF(AND(COUNT($E88),N(BP$2)&gt;=N($G$2),N(BP$2)&lt;N($E88))," ",""))</f>
        <v/>
      </c>
      <c r="BQ88" s="23">
        <f>IF(AND(COUNT($E88),N(BQ$2)=N($E88)),$E88,IF(AND(COUNT($E88),N(BQ$2)&gt;=N($G$2),N(BQ$2)&lt;N($E88))," ",""))</f>
        <v/>
      </c>
      <c r="BR88" s="23">
        <f>IF(AND(COUNT($E88),N(BR$2)=N($E88)),$E88,IF(AND(COUNT($E88),N(BR$2)&gt;=N($G$2),N(BR$2)&lt;N($E88))," ",""))</f>
        <v/>
      </c>
      <c r="BS88" s="23">
        <f>IF(AND(COUNT($E88),N(BS$2)=N($E88)),$E88,IF(AND(COUNT($E88),N(BS$2)&gt;=N($G$2),N(BS$2)&lt;N($E88))," ",""))</f>
        <v/>
      </c>
    </row>
    <row r="89" ht="20" customHeight="1">
      <c r="A89" s="21" t="inlineStr">
        <is>
          <t>预估</t>
        </is>
      </c>
      <c r="B89" s="21" t="inlineStr">
        <is>
          <t>第二期</t>
        </is>
      </c>
      <c r="C89" s="22" t="inlineStr">
        <is>
          <t>PAB220·双级样机</t>
        </is>
      </c>
      <c r="D89" s="23">
        <f>'时间节点计划表'!E45</f>
        <v/>
      </c>
      <c r="E89" s="23">
        <f>IF(COUNT('时间节点计划表'!F45),'时间节点计划表'!F45,"")</f>
        <v/>
      </c>
      <c r="F89" s="24" t="inlineStr"/>
      <c r="G89" s="25">
        <f>D89</f>
        <v/>
      </c>
      <c r="H89" s="26" t="n"/>
      <c r="I89" s="26" t="n"/>
      <c r="J89" s="26" t="n"/>
      <c r="K89" s="26" t="n"/>
      <c r="L89" s="26" t="n"/>
      <c r="M89" s="26" t="n"/>
      <c r="N89" s="26" t="n"/>
      <c r="O89" s="26" t="n"/>
      <c r="P89" s="26" t="n"/>
      <c r="Q89" s="26" t="n"/>
      <c r="R89" s="26" t="n"/>
      <c r="S89" s="26" t="n"/>
      <c r="T89" s="26" t="n"/>
      <c r="U89" s="26" t="n"/>
      <c r="V89" s="26" t="n"/>
      <c r="W89" s="26" t="n"/>
      <c r="X89" s="26" t="n"/>
      <c r="Y89" s="26" t="n"/>
      <c r="Z89" s="26" t="n"/>
      <c r="AA89" s="26" t="n"/>
      <c r="AB89" s="26" t="n"/>
      <c r="AC89" s="26" t="n"/>
      <c r="AD89" s="26" t="n"/>
      <c r="AE89" s="26" t="n"/>
      <c r="AF89" s="26" t="n"/>
      <c r="AG89" s="26" t="n"/>
      <c r="AH89" s="26" t="n"/>
      <c r="AI89" s="26" t="n"/>
      <c r="AJ89" s="26" t="n"/>
      <c r="AK89" s="26" t="n"/>
      <c r="AL89" s="26" t="n"/>
      <c r="AM89" s="26" t="n"/>
      <c r="AN89" s="26" t="n"/>
      <c r="AO89" s="26" t="n"/>
      <c r="AP89" s="26" t="n"/>
      <c r="AQ89" s="26" t="n"/>
      <c r="AR89" s="26" t="n"/>
      <c r="AS89" s="26" t="n"/>
      <c r="AT89" s="26" t="n"/>
      <c r="AU89" s="26" t="n"/>
      <c r="AV89" s="26" t="n"/>
      <c r="AW89" s="26" t="n"/>
      <c r="AX89" s="26" t="n"/>
      <c r="AY89" s="26" t="n"/>
      <c r="AZ89" s="26" t="n"/>
      <c r="BA89" s="26" t="n"/>
      <c r="BB89" s="26" t="n"/>
      <c r="BC89" s="26" t="n"/>
      <c r="BD89" s="26" t="n"/>
      <c r="BE89" s="26" t="n"/>
      <c r="BF89" s="26" t="n"/>
      <c r="BG89" s="26" t="n"/>
      <c r="BH89" s="26" t="n"/>
      <c r="BI89" s="26" t="n"/>
      <c r="BJ89" s="26" t="n"/>
      <c r="BK89" s="26" t="n"/>
      <c r="BL89" s="26" t="n"/>
      <c r="BM89" s="26" t="n"/>
      <c r="BN89" s="26" t="n"/>
      <c r="BO89" s="26" t="n"/>
      <c r="BP89" s="26" t="n"/>
      <c r="BQ89" s="26" t="n"/>
      <c r="BR89" s="26" t="n"/>
      <c r="BS89" s="27" t="n"/>
    </row>
    <row r="90" ht="20" customHeight="1">
      <c r="A90" s="29" t="inlineStr">
        <is>
          <t>实际</t>
        </is>
      </c>
      <c r="B90" s="29" t="inlineStr">
        <is>
          <t>第二期</t>
        </is>
      </c>
      <c r="C90" s="30" t="inlineStr">
        <is>
          <t>PAB220·双级样机</t>
        </is>
      </c>
      <c r="D90" s="31">
        <f>'时间节点计划表'!E45</f>
        <v/>
      </c>
      <c r="E90" s="31">
        <f>IF(COUNT('时间节点计划表'!F45),'时间节点计划表'!F45,"")</f>
        <v/>
      </c>
      <c r="F90" s="32">
        <f>IF(OR(D90="",E90=""),"待填",E90-D90)</f>
        <v/>
      </c>
      <c r="G90" s="23">
        <f>IF(AND(COUNT($E90),N(G$2)=N($E90)),$E90,IF(AND(COUNT($E90),N(G$2)&gt;=N($G$2),N(G$2)&lt;N($E90))," ",""))</f>
        <v/>
      </c>
      <c r="H90" s="23">
        <f>IF(AND(COUNT($E90),N(H$2)=N($E90)),$E90,IF(AND(COUNT($E90),N(H$2)&gt;=N($G$2),N(H$2)&lt;N($E90))," ",""))</f>
        <v/>
      </c>
      <c r="I90" s="23">
        <f>IF(AND(COUNT($E90),N(I$2)=N($E90)),$E90,IF(AND(COUNT($E90),N(I$2)&gt;=N($G$2),N(I$2)&lt;N($E90))," ",""))</f>
        <v/>
      </c>
      <c r="J90" s="23">
        <f>IF(AND(COUNT($E90),N(J$2)=N($E90)),$E90,IF(AND(COUNT($E90),N(J$2)&gt;=N($G$2),N(J$2)&lt;N($E90))," ",""))</f>
        <v/>
      </c>
      <c r="K90" s="23">
        <f>IF(AND(COUNT($E90),N(K$2)=N($E90)),$E90,IF(AND(COUNT($E90),N(K$2)&gt;=N($G$2),N(K$2)&lt;N($E90))," ",""))</f>
        <v/>
      </c>
      <c r="L90" s="23">
        <f>IF(AND(COUNT($E90),N(L$2)=N($E90)),$E90,IF(AND(COUNT($E90),N(L$2)&gt;=N($G$2),N(L$2)&lt;N($E90))," ",""))</f>
        <v/>
      </c>
      <c r="M90" s="23">
        <f>IF(AND(COUNT($E90),N(M$2)=N($E90)),$E90,IF(AND(COUNT($E90),N(M$2)&gt;=N($G$2),N(M$2)&lt;N($E90))," ",""))</f>
        <v/>
      </c>
      <c r="N90" s="23">
        <f>IF(AND(COUNT($E90),N(N$2)=N($E90)),$E90,IF(AND(COUNT($E90),N(N$2)&gt;=N($G$2),N(N$2)&lt;N($E90))," ",""))</f>
        <v/>
      </c>
      <c r="O90" s="23">
        <f>IF(AND(COUNT($E90),N(O$2)=N($E90)),$E90,IF(AND(COUNT($E90),N(O$2)&gt;=N($G$2),N(O$2)&lt;N($E90))," ",""))</f>
        <v/>
      </c>
      <c r="P90" s="23">
        <f>IF(AND(COUNT($E90),N(P$2)=N($E90)),$E90,IF(AND(COUNT($E90),N(P$2)&gt;=N($G$2),N(P$2)&lt;N($E90))," ",""))</f>
        <v/>
      </c>
      <c r="Q90" s="23">
        <f>IF(AND(COUNT($E90),N(Q$2)=N($E90)),$E90,IF(AND(COUNT($E90),N(Q$2)&gt;=N($G$2),N(Q$2)&lt;N($E90))," ",""))</f>
        <v/>
      </c>
      <c r="R90" s="23">
        <f>IF(AND(COUNT($E90),N(R$2)=N($E90)),$E90,IF(AND(COUNT($E90),N(R$2)&gt;=N($G$2),N(R$2)&lt;N($E90))," ",""))</f>
        <v/>
      </c>
      <c r="S90" s="23">
        <f>IF(AND(COUNT($E90),N(S$2)=N($E90)),$E90,IF(AND(COUNT($E90),N(S$2)&gt;=N($G$2),N(S$2)&lt;N($E90))," ",""))</f>
        <v/>
      </c>
      <c r="T90" s="23">
        <f>IF(AND(COUNT($E90),N(T$2)=N($E90)),$E90,IF(AND(COUNT($E90),N(T$2)&gt;=N($G$2),N(T$2)&lt;N($E90))," ",""))</f>
        <v/>
      </c>
      <c r="U90" s="23">
        <f>IF(AND(COUNT($E90),N(U$2)=N($E90)),$E90,IF(AND(COUNT($E90),N(U$2)&gt;=N($G$2),N(U$2)&lt;N($E90))," ",""))</f>
        <v/>
      </c>
      <c r="V90" s="23">
        <f>IF(AND(COUNT($E90),N(V$2)=N($E90)),$E90,IF(AND(COUNT($E90),N(V$2)&gt;=N($G$2),N(V$2)&lt;N($E90))," ",""))</f>
        <v/>
      </c>
      <c r="W90" s="23">
        <f>IF(AND(COUNT($E90),N(W$2)=N($E90)),$E90,IF(AND(COUNT($E90),N(W$2)&gt;=N($G$2),N(W$2)&lt;N($E90))," ",""))</f>
        <v/>
      </c>
      <c r="X90" s="23">
        <f>IF(AND(COUNT($E90),N(X$2)=N($E90)),$E90,IF(AND(COUNT($E90),N(X$2)&gt;=N($G$2),N(X$2)&lt;N($E90))," ",""))</f>
        <v/>
      </c>
      <c r="Y90" s="23">
        <f>IF(AND(COUNT($E90),N(Y$2)=N($E90)),$E90,IF(AND(COUNT($E90),N(Y$2)&gt;=N($G$2),N(Y$2)&lt;N($E90))," ",""))</f>
        <v/>
      </c>
      <c r="Z90" s="23">
        <f>IF(AND(COUNT($E90),N(Z$2)=N($E90)),$E90,IF(AND(COUNT($E90),N(Z$2)&gt;=N($G$2),N(Z$2)&lt;N($E90))," ",""))</f>
        <v/>
      </c>
      <c r="AA90" s="23">
        <f>IF(AND(COUNT($E90),N(AA$2)=N($E90)),$E90,IF(AND(COUNT($E90),N(AA$2)&gt;=N($G$2),N(AA$2)&lt;N($E90))," ",""))</f>
        <v/>
      </c>
      <c r="AB90" s="23">
        <f>IF(AND(COUNT($E90),N(AB$2)=N($E90)),$E90,IF(AND(COUNT($E90),N(AB$2)&gt;=N($G$2),N(AB$2)&lt;N($E90))," ",""))</f>
        <v/>
      </c>
      <c r="AC90" s="23">
        <f>IF(AND(COUNT($E90),N(AC$2)=N($E90)),$E90,IF(AND(COUNT($E90),N(AC$2)&gt;=N($G$2),N(AC$2)&lt;N($E90))," ",""))</f>
        <v/>
      </c>
      <c r="AD90" s="23">
        <f>IF(AND(COUNT($E90),N(AD$2)=N($E90)),$E90,IF(AND(COUNT($E90),N(AD$2)&gt;=N($G$2),N(AD$2)&lt;N($E90))," ",""))</f>
        <v/>
      </c>
      <c r="AE90" s="23">
        <f>IF(AND(COUNT($E90),N(AE$2)=N($E90)),$E90,IF(AND(COUNT($E90),N(AE$2)&gt;=N($G$2),N(AE$2)&lt;N($E90))," ",""))</f>
        <v/>
      </c>
      <c r="AF90" s="23">
        <f>IF(AND(COUNT($E90),N(AF$2)=N($E90)),$E90,IF(AND(COUNT($E90),N(AF$2)&gt;=N($G$2),N(AF$2)&lt;N($E90))," ",""))</f>
        <v/>
      </c>
      <c r="AG90" s="23">
        <f>IF(AND(COUNT($E90),N(AG$2)=N($E90)),$E90,IF(AND(COUNT($E90),N(AG$2)&gt;=N($G$2),N(AG$2)&lt;N($E90))," ",""))</f>
        <v/>
      </c>
      <c r="AH90" s="23">
        <f>IF(AND(COUNT($E90),N(AH$2)=N($E90)),$E90,IF(AND(COUNT($E90),N(AH$2)&gt;=N($G$2),N(AH$2)&lt;N($E90))," ",""))</f>
        <v/>
      </c>
      <c r="AI90" s="23">
        <f>IF(AND(COUNT($E90),N(AI$2)=N($E90)),$E90,IF(AND(COUNT($E90),N(AI$2)&gt;=N($G$2),N(AI$2)&lt;N($E90))," ",""))</f>
        <v/>
      </c>
      <c r="AJ90" s="23">
        <f>IF(AND(COUNT($E90),N(AJ$2)=N($E90)),$E90,IF(AND(COUNT($E90),N(AJ$2)&gt;=N($G$2),N(AJ$2)&lt;N($E90))," ",""))</f>
        <v/>
      </c>
      <c r="AK90" s="23">
        <f>IF(AND(COUNT($E90),N(AK$2)=N($E90)),$E90,IF(AND(COUNT($E90),N(AK$2)&gt;=N($G$2),N(AK$2)&lt;N($E90))," ",""))</f>
        <v/>
      </c>
      <c r="AL90" s="23">
        <f>IF(AND(COUNT($E90),N(AL$2)=N($E90)),$E90,IF(AND(COUNT($E90),N(AL$2)&gt;=N($G$2),N(AL$2)&lt;N($E90))," ",""))</f>
        <v/>
      </c>
      <c r="AM90" s="23">
        <f>IF(AND(COUNT($E90),N(AM$2)=N($E90)),$E90,IF(AND(COUNT($E90),N(AM$2)&gt;=N($G$2),N(AM$2)&lt;N($E90))," ",""))</f>
        <v/>
      </c>
      <c r="AN90" s="23">
        <f>IF(AND(COUNT($E90),N(AN$2)=N($E90)),$E90,IF(AND(COUNT($E90),N(AN$2)&gt;=N($G$2),N(AN$2)&lt;N($E90))," ",""))</f>
        <v/>
      </c>
      <c r="AO90" s="23">
        <f>IF(AND(COUNT($E90),N(AO$2)=N($E90)),$E90,IF(AND(COUNT($E90),N(AO$2)&gt;=N($G$2),N(AO$2)&lt;N($E90))," ",""))</f>
        <v/>
      </c>
      <c r="AP90" s="23">
        <f>IF(AND(COUNT($E90),N(AP$2)=N($E90)),$E90,IF(AND(COUNT($E90),N(AP$2)&gt;=N($G$2),N(AP$2)&lt;N($E90))," ",""))</f>
        <v/>
      </c>
      <c r="AQ90" s="23">
        <f>IF(AND(COUNT($E90),N(AQ$2)=N($E90)),$E90,IF(AND(COUNT($E90),N(AQ$2)&gt;=N($G$2),N(AQ$2)&lt;N($E90))," ",""))</f>
        <v/>
      </c>
      <c r="AR90" s="23">
        <f>IF(AND(COUNT($E90),N(AR$2)=N($E90)),$E90,IF(AND(COUNT($E90),N(AR$2)&gt;=N($G$2),N(AR$2)&lt;N($E90))," ",""))</f>
        <v/>
      </c>
      <c r="AS90" s="23">
        <f>IF(AND(COUNT($E90),N(AS$2)=N($E90)),$E90,IF(AND(COUNT($E90),N(AS$2)&gt;=N($G$2),N(AS$2)&lt;N($E90))," ",""))</f>
        <v/>
      </c>
      <c r="AT90" s="23">
        <f>IF(AND(COUNT($E90),N(AT$2)=N($E90)),$E90,IF(AND(COUNT($E90),N(AT$2)&gt;=N($G$2),N(AT$2)&lt;N($E90))," ",""))</f>
        <v/>
      </c>
      <c r="AU90" s="23">
        <f>IF(AND(COUNT($E90),N(AU$2)=N($E90)),$E90,IF(AND(COUNT($E90),N(AU$2)&gt;=N($G$2),N(AU$2)&lt;N($E90))," ",""))</f>
        <v/>
      </c>
      <c r="AV90" s="23">
        <f>IF(AND(COUNT($E90),N(AV$2)=N($E90)),$E90,IF(AND(COUNT($E90),N(AV$2)&gt;=N($G$2),N(AV$2)&lt;N($E90))," ",""))</f>
        <v/>
      </c>
      <c r="AW90" s="23">
        <f>IF(AND(COUNT($E90),N(AW$2)=N($E90)),$E90,IF(AND(COUNT($E90),N(AW$2)&gt;=N($G$2),N(AW$2)&lt;N($E90))," ",""))</f>
        <v/>
      </c>
      <c r="AX90" s="23">
        <f>IF(AND(COUNT($E90),N(AX$2)=N($E90)),$E90,IF(AND(COUNT($E90),N(AX$2)&gt;=N($G$2),N(AX$2)&lt;N($E90))," ",""))</f>
        <v/>
      </c>
      <c r="AY90" s="23">
        <f>IF(AND(COUNT($E90),N(AY$2)=N($E90)),$E90,IF(AND(COUNT($E90),N(AY$2)&gt;=N($G$2),N(AY$2)&lt;N($E90))," ",""))</f>
        <v/>
      </c>
      <c r="AZ90" s="23">
        <f>IF(AND(COUNT($E90),N(AZ$2)=N($E90)),$E90,IF(AND(COUNT($E90),N(AZ$2)&gt;=N($G$2),N(AZ$2)&lt;N($E90))," ",""))</f>
        <v/>
      </c>
      <c r="BA90" s="23">
        <f>IF(AND(COUNT($E90),N(BA$2)=N($E90)),$E90,IF(AND(COUNT($E90),N(BA$2)&gt;=N($G$2),N(BA$2)&lt;N($E90))," ",""))</f>
        <v/>
      </c>
      <c r="BB90" s="23">
        <f>IF(AND(COUNT($E90),N(BB$2)=N($E90)),$E90,IF(AND(COUNT($E90),N(BB$2)&gt;=N($G$2),N(BB$2)&lt;N($E90))," ",""))</f>
        <v/>
      </c>
      <c r="BC90" s="23">
        <f>IF(AND(COUNT($E90),N(BC$2)=N($E90)),$E90,IF(AND(COUNT($E90),N(BC$2)&gt;=N($G$2),N(BC$2)&lt;N($E90))," ",""))</f>
        <v/>
      </c>
      <c r="BD90" s="23">
        <f>IF(AND(COUNT($E90),N(BD$2)=N($E90)),$E90,IF(AND(COUNT($E90),N(BD$2)&gt;=N($G$2),N(BD$2)&lt;N($E90))," ",""))</f>
        <v/>
      </c>
      <c r="BE90" s="23">
        <f>IF(AND(COUNT($E90),N(BE$2)=N($E90)),$E90,IF(AND(COUNT($E90),N(BE$2)&gt;=N($G$2),N(BE$2)&lt;N($E90))," ",""))</f>
        <v/>
      </c>
      <c r="BF90" s="23">
        <f>IF(AND(COUNT($E90),N(BF$2)=N($E90)),$E90,IF(AND(COUNT($E90),N(BF$2)&gt;=N($G$2),N(BF$2)&lt;N($E90))," ",""))</f>
        <v/>
      </c>
      <c r="BG90" s="23">
        <f>IF(AND(COUNT($E90),N(BG$2)=N($E90)),$E90,IF(AND(COUNT($E90),N(BG$2)&gt;=N($G$2),N(BG$2)&lt;N($E90))," ",""))</f>
        <v/>
      </c>
      <c r="BH90" s="23">
        <f>IF(AND(COUNT($E90),N(BH$2)=N($E90)),$E90,IF(AND(COUNT($E90),N(BH$2)&gt;=N($G$2),N(BH$2)&lt;N($E90))," ",""))</f>
        <v/>
      </c>
      <c r="BI90" s="23">
        <f>IF(AND(COUNT($E90),N(BI$2)=N($E90)),$E90,IF(AND(COUNT($E90),N(BI$2)&gt;=N($G$2),N(BI$2)&lt;N($E90))," ",""))</f>
        <v/>
      </c>
      <c r="BJ90" s="23">
        <f>IF(AND(COUNT($E90),N(BJ$2)=N($E90)),$E90,IF(AND(COUNT($E90),N(BJ$2)&gt;=N($G$2),N(BJ$2)&lt;N($E90))," ",""))</f>
        <v/>
      </c>
      <c r="BK90" s="23">
        <f>IF(AND(COUNT($E90),N(BK$2)=N($E90)),$E90,IF(AND(COUNT($E90),N(BK$2)&gt;=N($G$2),N(BK$2)&lt;N($E90))," ",""))</f>
        <v/>
      </c>
      <c r="BL90" s="23">
        <f>IF(AND(COUNT($E90),N(BL$2)=N($E90)),$E90,IF(AND(COUNT($E90),N(BL$2)&gt;=N($G$2),N(BL$2)&lt;N($E90))," ",""))</f>
        <v/>
      </c>
      <c r="BM90" s="23">
        <f>IF(AND(COUNT($E90),N(BM$2)=N($E90)),$E90,IF(AND(COUNT($E90),N(BM$2)&gt;=N($G$2),N(BM$2)&lt;N($E90))," ",""))</f>
        <v/>
      </c>
      <c r="BN90" s="23">
        <f>IF(AND(COUNT($E90),N(BN$2)=N($E90)),$E90,IF(AND(COUNT($E90),N(BN$2)&gt;=N($G$2),N(BN$2)&lt;N($E90))," ",""))</f>
        <v/>
      </c>
      <c r="BO90" s="23">
        <f>IF(AND(COUNT($E90),N(BO$2)=N($E90)),$E90,IF(AND(COUNT($E90),N(BO$2)&gt;=N($G$2),N(BO$2)&lt;N($E90))," ",""))</f>
        <v/>
      </c>
      <c r="BP90" s="23">
        <f>IF(AND(COUNT($E90),N(BP$2)=N($E90)),$E90,IF(AND(COUNT($E90),N(BP$2)&gt;=N($G$2),N(BP$2)&lt;N($E90))," ",""))</f>
        <v/>
      </c>
      <c r="BQ90" s="23">
        <f>IF(AND(COUNT($E90),N(BQ$2)=N($E90)),$E90,IF(AND(COUNT($E90),N(BQ$2)&gt;=N($G$2),N(BQ$2)&lt;N($E90))," ",""))</f>
        <v/>
      </c>
      <c r="BR90" s="23">
        <f>IF(AND(COUNT($E90),N(BR$2)=N($E90)),$E90,IF(AND(COUNT($E90),N(BR$2)&gt;=N($G$2),N(BR$2)&lt;N($E90))," ",""))</f>
        <v/>
      </c>
      <c r="BS90" s="23">
        <f>IF(AND(COUNT($E90),N(BS$2)=N($E90)),$E90,IF(AND(COUNT($E90),N(BS$2)&gt;=N($G$2),N(BS$2)&lt;N($E90))," ",""))</f>
        <v/>
      </c>
    </row>
    <row r="92" ht="36" customHeight="1">
      <c r="A92" s="14" t="inlineStr">
        <is>
          <t>预估条从首日合并到完成日，只显示最终完成日期。填写实际日期后自动生成实际色条（完成日显示日期，中间格铺底纹）。蓝=预估；橙/红/绿=实际（准时/延期/提前）。</t>
        </is>
      </c>
      <c r="G92" s="33" t="inlineStr">
        <is>
          <t>预估</t>
        </is>
      </c>
      <c r="K92" s="34" t="inlineStr">
        <is>
          <t>实际·准时</t>
        </is>
      </c>
      <c r="O92" s="35" t="inlineStr">
        <is>
          <t>实际·延期</t>
        </is>
      </c>
      <c r="S92" s="36" t="inlineStr">
        <is>
          <t>实际·提前</t>
        </is>
      </c>
    </row>
  </sheetData>
  <mergeCells count="49">
    <mergeCell ref="G57:BI57"/>
    <mergeCell ref="G79:BP79"/>
    <mergeCell ref="G17:AG17"/>
    <mergeCell ref="G65:AB65"/>
    <mergeCell ref="G47:BG47"/>
    <mergeCell ref="G67:BK67"/>
    <mergeCell ref="G83:BF83"/>
    <mergeCell ref="G81:AF81"/>
    <mergeCell ref="G51:V51"/>
    <mergeCell ref="G85:BP85"/>
    <mergeCell ref="G89:BS89"/>
    <mergeCell ref="G21:AR21"/>
    <mergeCell ref="G13:AP13"/>
    <mergeCell ref="G19:AP19"/>
    <mergeCell ref="G63:AB63"/>
    <mergeCell ref="G15:O15"/>
    <mergeCell ref="G5:L5"/>
    <mergeCell ref="G43:BD43"/>
    <mergeCell ref="G41:AQ41"/>
    <mergeCell ref="G71:BD71"/>
    <mergeCell ref="G49:BH49"/>
    <mergeCell ref="G27:S27"/>
    <mergeCell ref="G3:K3"/>
    <mergeCell ref="G87:BQ87"/>
    <mergeCell ref="G11:AB11"/>
    <mergeCell ref="G1:R1"/>
    <mergeCell ref="G75:BL75"/>
    <mergeCell ref="G61:Y61"/>
    <mergeCell ref="G69:AC69"/>
    <mergeCell ref="G35:AV35"/>
    <mergeCell ref="G39:V39"/>
    <mergeCell ref="G45:BE45"/>
    <mergeCell ref="G53:AU53"/>
    <mergeCell ref="G37:BD37"/>
    <mergeCell ref="A92:F92"/>
    <mergeCell ref="G55:BH55"/>
    <mergeCell ref="G25:AS25"/>
    <mergeCell ref="G23:AT23"/>
    <mergeCell ref="S1:AV1"/>
    <mergeCell ref="G9:AG9"/>
    <mergeCell ref="G73:BK73"/>
    <mergeCell ref="G77:BO77"/>
    <mergeCell ref="AW1:BS1"/>
    <mergeCell ref="G33:AU33"/>
    <mergeCell ref="G31:AS31"/>
    <mergeCell ref="A1:F1"/>
    <mergeCell ref="G29:AL29"/>
    <mergeCell ref="G7:L7"/>
    <mergeCell ref="G59:BK59"/>
  </mergeCells>
  <conditionalFormatting sqref="G3:BS90">
    <cfRule type="expression" priority="1" dxfId="3">
      <formula>AND($A3="预估",ISNUMBER(G3))</formula>
    </cfRule>
    <cfRule type="expression" priority="2" dxfId="4">
      <formula>AND($A3="实际",G3&lt;&gt;"",$E3=$D3)</formula>
    </cfRule>
    <cfRule type="expression" priority="3" dxfId="5">
      <formula>AND($A3="实际",G3&lt;&gt;"",$E3&gt;$D3)</formula>
    </cfRule>
    <cfRule type="expression" priority="4" dxfId="6">
      <formula>AND($A3="实际",G3&lt;&gt;"",$E3&lt;$D3)</formula>
    </cfRule>
  </conditionalFormatting>
  <pageMargins left="0.75" right="0.75" top="1" bottom="1" header="0.5" footer="0.5"/>
  <pageSetup orientation="landscape" paperSize="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2026-08-20T07:10:45Z</dcterms:created>
  <dcterms:modified xsi:type="dcterms:W3CDTF">2026-08-20T07:10:45Z</dcterms:modified>
</cp:coreProperties>
</file>