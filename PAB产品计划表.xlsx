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  <sheet name="甘特图" sheetId="2" state="visible" r:id="rId2"/>
  </sheets>
  <definedNames>
    <definedName name="_xlnm._FilterDatabase" localSheetId="0" hidden="1">'时间节点计划表'!$A$1:$I$45</definedName>
    <definedName name="_xlnm.Print_Titles" localSheetId="1">'甘特图'!$1:$2,'甘特图'!$A:$F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1F4E78"/>
      <sz val="12"/>
    </font>
    <font>
      <name val="微软雅黑"/>
      <b val="1"/>
      <color rgb="001F4E78"/>
      <sz val="10"/>
    </font>
    <font>
      <name val="微软雅黑"/>
      <color rgb="006B7280"/>
      <sz val="9"/>
    </font>
    <font>
      <name val="微软雅黑"/>
      <b val="1"/>
      <color rgb="001F4E78"/>
      <sz val="11"/>
    </font>
    <font>
      <name val="微软雅黑"/>
      <b val="1"/>
      <color rgb="00FFFFFF"/>
      <sz val="10"/>
    </font>
    <font>
      <name val="微软雅黑"/>
      <color rgb="00FFFFFF"/>
      <sz val="7"/>
    </font>
    <font>
      <name val="微软雅黑"/>
      <color rgb="00FDE68A"/>
      <sz val="7"/>
    </font>
    <font>
      <name val="微软雅黑"/>
      <color rgb="001F2937"/>
      <sz val="9"/>
    </font>
    <font>
      <name val="微软雅黑"/>
      <color rgb="001F2937"/>
      <sz val="8"/>
    </font>
    <font>
      <name val="微软雅黑"/>
      <b val="1"/>
      <color rgb="00FFFFFF"/>
      <sz val="8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E2E8F0"/>
      </patternFill>
    </fill>
    <fill>
      <patternFill patternType="solid">
        <fgColor rgb="002E75B6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2F80ED"/>
      </patternFill>
    </fill>
    <fill>
      <patternFill patternType="solid">
        <fgColor rgb="00F59E0B"/>
      </patternFill>
    </fill>
    <fill>
      <patternFill patternType="solid">
        <fgColor rgb="00DC2626"/>
      </patternFill>
    </fill>
    <fill>
      <patternFill patternType="solid">
        <fgColor rgb="0016A34A"/>
      </patternFill>
    </fill>
  </fills>
  <borders count="5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/>
      <top/>
      <bottom/>
      <diagonal/>
    </border>
    <border>
      <left style="thin">
        <color rgb="00B7C9D6"/>
      </left>
      <right style="thin">
        <color rgb="00B7C9D6"/>
      </right>
      <top/>
      <bottom/>
      <diagonal/>
    </border>
    <border>
      <left style="thin">
        <color rgb="00B7C9D6"/>
      </left>
      <right style="thin">
        <color rgb="00B7C9D6"/>
      </right>
      <top/>
      <bottom style="thin">
        <color rgb="00B7C9D6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164" fontId="9" fillId="8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164" fontId="10" fillId="9" borderId="1" applyAlignment="1" pivotButton="0" quotePrefix="0" xfId="0">
      <alignment horizontal="center" vertical="center" wrapText="1"/>
    </xf>
    <xf numFmtId="1" fontId="10" fillId="9" borderId="1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12" fillId="13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ont>
        <name val="微软雅黑"/>
        <b val="1"/>
        <color rgb="00991B1B"/>
        <sz val="10"/>
      </font>
      <fill>
        <patternFill patternType="solid">
          <fgColor rgb="00FECACA"/>
        </patternFill>
      </fill>
    </dxf>
    <dxf>
      <font>
        <name val="微软雅黑"/>
        <color rgb="0014532D"/>
        <sz val="10"/>
      </font>
      <fill>
        <patternFill patternType="solid">
          <fgColor rgb="00BBF7D0"/>
        </patternFill>
      </fill>
    </dxf>
    <dxf>
      <font>
        <name val="微软雅黑"/>
        <color rgb="001F2937"/>
        <sz val="10"/>
      </font>
      <fill>
        <patternFill patternType="solid">
          <fgColor rgb="00D6EAF8"/>
        </patternFill>
      </fill>
    </dxf>
    <dxf>
      <font>
        <name val="微软雅黑"/>
        <color rgb="001F2937"/>
        <sz val="9"/>
      </font>
      <fill>
        <patternFill patternType="solid">
          <fgColor rgb="FF9DC3E6"/>
          <bgColor rgb="FF9DC3E6"/>
        </patternFill>
      </fill>
    </dxf>
    <dxf>
      <font>
        <name val="微软雅黑"/>
        <color rgb="001F2937"/>
        <sz val="9"/>
      </font>
      <fill>
        <patternFill patternType="solid">
          <fgColor rgb="FFF8CBAD"/>
          <bgColor rgb="FFF8CBAD"/>
        </patternFill>
      </fill>
    </dxf>
    <dxf>
      <font>
        <name val="微软雅黑"/>
        <b val="1"/>
        <color rgb="00991B1B"/>
        <sz val="9"/>
      </font>
      <fill>
        <patternFill patternType="solid">
          <fgColor rgb="FFF4A6A6"/>
          <bgColor rgb="FFF4A6A6"/>
        </patternFill>
      </fill>
    </dxf>
    <dxf>
      <font>
        <name val="微软雅黑"/>
        <color rgb="0014532D"/>
        <sz val="9"/>
      </font>
      <fill>
        <patternFill patternType="solid">
          <fgColor rgb="FFA9D08E"/>
          <bgColor rgb="FFA9D08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62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</cols>
  <sheetData>
    <row r="1" ht="22" customHeight="1">
      <c r="A1" s="1" t="inlineStr">
        <is>
          <t>阶段</t>
        </is>
      </c>
      <c r="B1" s="1" t="inlineStr">
        <is>
          <t>任务</t>
        </is>
      </c>
      <c r="C1" s="1" t="inlineStr">
        <is>
          <t>任务简要</t>
        </is>
      </c>
      <c r="D1" s="1" t="inlineStr">
        <is>
          <t>任务摘要</t>
        </is>
      </c>
      <c r="E1" s="1" t="inlineStr">
        <is>
          <t>预估完成节点</t>
        </is>
      </c>
      <c r="F1" s="1" t="inlineStr">
        <is>
          <t>实际完成节点</t>
        </is>
      </c>
      <c r="G1" s="1" t="inlineStr">
        <is>
          <t>超时原因</t>
        </is>
      </c>
      <c r="H1" s="1" t="inlineStr">
        <is>
          <t>任务责任人</t>
        </is>
      </c>
      <c r="I1" s="1" t="inlineStr">
        <is>
          <t>偏移天数</t>
        </is>
      </c>
    </row>
    <row r="2" ht="32" customHeight="1">
      <c r="A2" s="2" t="inlineStr">
        <is>
          <t>第一期</t>
        </is>
      </c>
      <c r="B2" s="3" t="inlineStr">
        <is>
          <t>前期准备</t>
        </is>
      </c>
      <c r="C2" s="4" t="inlineStr">
        <is>
          <t>一期零件图纸整理归档</t>
        </is>
      </c>
      <c r="D2" s="4" t="inlineStr">
        <is>
          <t>四批型号单级和双级所涉零件图纸整理完毕并分类归档。范围：PAB060、PAB090、PAB115、PAB142。协助人：吴晨阳。</t>
        </is>
      </c>
      <c r="E2" s="5" t="n">
        <v>46258</v>
      </c>
      <c r="F2" s="5" t="n"/>
      <c r="G2" s="4" t="inlineStr"/>
      <c r="H2" s="6" t="inlineStr">
        <is>
          <t>王杰</t>
        </is>
      </c>
      <c r="I2" s="7">
        <f>IF(OR(E2="",F2=""),"待填",F2-E2)</f>
        <v/>
      </c>
    </row>
    <row r="3" ht="32" customHeight="1">
      <c r="A3" s="2" t="n"/>
      <c r="B3" s="3" t="n"/>
      <c r="C3" s="8" t="inlineStr">
        <is>
          <t>一期零件下单采购</t>
        </is>
      </c>
      <c r="D3" s="8" t="inlineStr">
        <is>
          <t>各零件形成采购表单并填写数量，单级和双级各10台。范围：PAB060、PAB090、PAB115、PAB142。</t>
        </is>
      </c>
      <c r="E3" s="9" t="n">
        <v>46259</v>
      </c>
      <c r="F3" s="9" t="n"/>
      <c r="G3" s="8" t="inlineStr"/>
      <c r="H3" s="10" t="inlineStr">
        <is>
          <t>王杰</t>
        </is>
      </c>
      <c r="I3" s="11">
        <f>IF(OR(E3="",F3=""),"待填",F3-E3)</f>
        <v/>
      </c>
    </row>
    <row r="4" ht="32" customHeight="1">
      <c r="A4" s="2" t="n"/>
      <c r="B4" s="3" t="n"/>
      <c r="C4" s="4" t="inlineStr">
        <is>
          <t>一期标准件下单采购</t>
        </is>
      </c>
      <c r="D4" s="4" t="inlineStr">
        <is>
          <t>各标准件形成采购表单并填写数量。范围：PAB060、PAB090、PAB115、PAB142。</t>
        </is>
      </c>
      <c r="E4" s="5" t="n">
        <v>46259</v>
      </c>
      <c r="F4" s="5" t="n"/>
      <c r="G4" s="4" t="inlineStr"/>
      <c r="H4" s="6" t="inlineStr">
        <is>
          <t>王杰</t>
        </is>
      </c>
      <c r="I4" s="7">
        <f>IF(OR(E4="",F4=""),"待填",F4-E4)</f>
        <v/>
      </c>
    </row>
    <row r="5" ht="32" customHeight="1">
      <c r="A5" s="2" t="n"/>
      <c r="B5" s="3" t="n"/>
      <c r="C5" s="8" t="inlineStr">
        <is>
          <t>装配线布局完成</t>
        </is>
      </c>
      <c r="D5" s="8" t="inlineStr">
        <is>
          <t>装配线布局完成。协助人：吴金平、王杰、吴晨阳。</t>
        </is>
      </c>
      <c r="E5" s="9" t="n">
        <v>46280</v>
      </c>
      <c r="F5" s="9" t="n"/>
      <c r="G5" s="8" t="inlineStr"/>
      <c r="H5" s="10" t="inlineStr">
        <is>
          <t>莫华华</t>
        </is>
      </c>
      <c r="I5" s="11">
        <f>IF(OR(E5="",F5=""),"待填",F5-E5)</f>
        <v/>
      </c>
    </row>
    <row r="6" ht="32" customHeight="1">
      <c r="A6" s="2" t="n"/>
      <c r="B6" s="3" t="n"/>
      <c r="C6" s="4" t="inlineStr">
        <is>
          <t>装配工具到位</t>
        </is>
      </c>
      <c r="D6" s="4" t="inlineStr">
        <is>
          <t>轴用卡钳、孔用卡钳、镊子、压机、润滑脂、螺纹禁锢胶、密封厌氧胶等装配工具到位。协助人：王杰。</t>
        </is>
      </c>
      <c r="E6" s="5" t="n">
        <v>46275</v>
      </c>
      <c r="F6" s="5" t="n"/>
      <c r="G6" s="4" t="inlineStr"/>
      <c r="H6" s="6" t="inlineStr">
        <is>
          <t>吴晨阳</t>
        </is>
      </c>
      <c r="I6" s="7">
        <f>IF(OR(E6="",F6=""),"待填",F6-E6)</f>
        <v/>
      </c>
    </row>
    <row r="7" ht="32" customHeight="1">
      <c r="A7" s="2" t="n"/>
      <c r="B7" s="3" t="inlineStr">
        <is>
          <t>PAB060</t>
        </is>
      </c>
      <c r="C7" s="8" t="inlineStr">
        <is>
          <t>PAB060·零件到位</t>
        </is>
      </c>
      <c r="D7" s="8" t="inlineStr">
        <is>
          <t>PAB060 零件到位。协助人：吴晨阳。</t>
        </is>
      </c>
      <c r="E7" s="9" t="n">
        <v>46289</v>
      </c>
      <c r="F7" s="9" t="n"/>
      <c r="G7" s="8" t="inlineStr"/>
      <c r="H7" s="10" t="inlineStr">
        <is>
          <t>王杰</t>
        </is>
      </c>
      <c r="I7" s="11">
        <f>IF(OR(E7="",F7=""),"待填",F7-E7)</f>
        <v/>
      </c>
    </row>
    <row r="8" ht="32" customHeight="1">
      <c r="A8" s="2" t="n"/>
      <c r="B8" s="3" t="n"/>
      <c r="C8" s="4" t="inlineStr">
        <is>
          <t>PAB060·工装图纸绘制</t>
        </is>
      </c>
      <c r="D8" s="4" t="inlineStr">
        <is>
          <t>PAB060 工装图纸绘制完成。协助人：吴晨阳。</t>
        </is>
      </c>
      <c r="E8" s="5" t="n">
        <v>46262</v>
      </c>
      <c r="F8" s="5" t="n"/>
      <c r="G8" s="4" t="inlineStr"/>
      <c r="H8" s="6" t="inlineStr">
        <is>
          <t>王杰</t>
        </is>
      </c>
      <c r="I8" s="7">
        <f>IF(OR(E8="",F8=""),"待填",F8-E8)</f>
        <v/>
      </c>
    </row>
    <row r="9" ht="32" customHeight="1">
      <c r="A9" s="2" t="n"/>
      <c r="B9" s="3" t="n"/>
      <c r="C9" s="8" t="inlineStr">
        <is>
          <t>PAB060·工装实物到位</t>
        </is>
      </c>
      <c r="D9" s="8" t="inlineStr">
        <is>
          <t>PAB060 工装实物到位。协助人：吴晨阳。</t>
        </is>
      </c>
      <c r="E9" s="9" t="n">
        <v>46280</v>
      </c>
      <c r="F9" s="9" t="n"/>
      <c r="G9" s="8" t="inlineStr"/>
      <c r="H9" s="10" t="inlineStr">
        <is>
          <t>王杰</t>
        </is>
      </c>
      <c r="I9" s="11">
        <f>IF(OR(E9="",F9=""),"待填",F9-E9)</f>
        <v/>
      </c>
    </row>
    <row r="10" ht="32" customHeight="1">
      <c r="A10" s="2" t="n"/>
      <c r="B10" s="3" t="n"/>
      <c r="C10" s="4" t="inlineStr">
        <is>
          <t>PAB060·排针机安装调试</t>
        </is>
      </c>
      <c r="D10" s="4" t="inlineStr">
        <is>
          <t>排针机1安装到位并调试完毕。协助人：王杰。</t>
        </is>
      </c>
      <c r="E10" s="5" t="n">
        <v>46289</v>
      </c>
      <c r="F10" s="5" t="n"/>
      <c r="G10" s="4" t="inlineStr"/>
      <c r="H10" s="6" t="inlineStr">
        <is>
          <t>吴金平</t>
        </is>
      </c>
      <c r="I10" s="7">
        <f>IF(OR(E10="",F10=""),"待填",F10-E10)</f>
        <v/>
      </c>
    </row>
    <row r="11" ht="32" customHeight="1">
      <c r="A11" s="2" t="n"/>
      <c r="B11" s="3" t="n"/>
      <c r="C11" s="8" t="inlineStr">
        <is>
          <t>PAB060·单级样机</t>
        </is>
      </c>
      <c r="D11" s="8" t="inlineStr">
        <is>
          <t>完成 PAB060 单级样机。协助人：吴晨阳。</t>
        </is>
      </c>
      <c r="E11" s="9" t="n">
        <v>46291</v>
      </c>
      <c r="F11" s="9" t="n"/>
      <c r="G11" s="8" t="inlineStr"/>
      <c r="H11" s="10" t="inlineStr">
        <is>
          <t>王杰</t>
        </is>
      </c>
      <c r="I11" s="11">
        <f>IF(OR(E11="",F11=""),"待填",F11-E11)</f>
        <v/>
      </c>
    </row>
    <row r="12" ht="32" customHeight="1">
      <c r="A12" s="2" t="n"/>
      <c r="B12" s="3" t="n"/>
      <c r="C12" s="4" t="inlineStr">
        <is>
          <t>PAB060·双级样机</t>
        </is>
      </c>
      <c r="D12" s="4" t="inlineStr">
        <is>
          <t>完成 PAB060 双级样机。协助人：吴晨阳。</t>
        </is>
      </c>
      <c r="E12" s="5" t="n">
        <v>46293</v>
      </c>
      <c r="F12" s="5" t="n"/>
      <c r="G12" s="4" t="inlineStr"/>
      <c r="H12" s="6" t="inlineStr">
        <is>
          <t>王杰</t>
        </is>
      </c>
      <c r="I12" s="7">
        <f>IF(OR(E12="",F12=""),"待填",F12-E12)</f>
        <v/>
      </c>
    </row>
    <row r="13" ht="32" customHeight="1">
      <c r="A13" s="2" t="n"/>
      <c r="B13" s="3" t="inlineStr">
        <is>
          <t>PAB090</t>
        </is>
      </c>
      <c r="C13" s="8" t="inlineStr">
        <is>
          <t>PAB090·零件到位</t>
        </is>
      </c>
      <c r="D13" s="8" t="inlineStr">
        <is>
          <t>PAB090 零件到位。协助人：吴晨阳。</t>
        </is>
      </c>
      <c r="E13" s="9" t="n">
        <v>46292</v>
      </c>
      <c r="F13" s="9" t="n"/>
      <c r="G13" s="8" t="inlineStr"/>
      <c r="H13" s="10" t="inlineStr">
        <is>
          <t>王杰</t>
        </is>
      </c>
      <c r="I13" s="11">
        <f>IF(OR(E13="",F13=""),"待填",F13-E13)</f>
        <v/>
      </c>
    </row>
    <row r="14" ht="32" customHeight="1">
      <c r="A14" s="2" t="n"/>
      <c r="B14" s="3" t="n"/>
      <c r="C14" s="4" t="inlineStr">
        <is>
          <t>PAB090·工装图纸绘制</t>
        </is>
      </c>
      <c r="D14" s="4" t="inlineStr">
        <is>
          <t>PAB090 工装图纸绘制完成。协助人：吴晨阳。</t>
        </is>
      </c>
      <c r="E14" s="5" t="n">
        <v>46266</v>
      </c>
      <c r="F14" s="5" t="n"/>
      <c r="G14" s="4" t="inlineStr"/>
      <c r="H14" s="6" t="inlineStr">
        <is>
          <t>王杰</t>
        </is>
      </c>
      <c r="I14" s="7">
        <f>IF(OR(E14="",F14=""),"待填",F14-E14)</f>
        <v/>
      </c>
    </row>
    <row r="15" ht="32" customHeight="1">
      <c r="A15" s="2" t="n"/>
      <c r="B15" s="3" t="n"/>
      <c r="C15" s="8" t="inlineStr">
        <is>
          <t>PAB090·工装实物到位</t>
        </is>
      </c>
      <c r="D15" s="8" t="inlineStr">
        <is>
          <t>PAB090 工装实物到位。协助人：吴晨阳。</t>
        </is>
      </c>
      <c r="E15" s="9" t="n">
        <v>46285</v>
      </c>
      <c r="F15" s="9" t="n"/>
      <c r="G15" s="8" t="inlineStr"/>
      <c r="H15" s="10" t="inlineStr">
        <is>
          <t>王杰</t>
        </is>
      </c>
      <c r="I15" s="11">
        <f>IF(OR(E15="",F15=""),"待填",F15-E15)</f>
        <v/>
      </c>
    </row>
    <row r="16" ht="32" customHeight="1">
      <c r="A16" s="2" t="n"/>
      <c r="B16" s="3" t="n"/>
      <c r="C16" s="4" t="inlineStr">
        <is>
          <t>PAB090·排针机安装调试</t>
        </is>
      </c>
      <c r="D16" s="4" t="inlineStr">
        <is>
          <t>排针机1安装到位并调试完毕。协助人：王杰。</t>
        </is>
      </c>
      <c r="E16" s="5" t="n">
        <v>46292</v>
      </c>
      <c r="F16" s="5" t="n"/>
      <c r="G16" s="4" t="inlineStr"/>
      <c r="H16" s="6" t="inlineStr">
        <is>
          <t>吴金平</t>
        </is>
      </c>
      <c r="I16" s="7">
        <f>IF(OR(E16="",F16=""),"待填",F16-E16)</f>
        <v/>
      </c>
    </row>
    <row r="17" ht="32" customHeight="1">
      <c r="A17" s="2" t="n"/>
      <c r="B17" s="3" t="n"/>
      <c r="C17" s="8" t="inlineStr">
        <is>
          <t>PAB090·单级样机</t>
        </is>
      </c>
      <c r="D17" s="8" t="inlineStr">
        <is>
          <t>完成 PAB090 单级样机。协助人：吴晨阳。</t>
        </is>
      </c>
      <c r="E17" s="9" t="n">
        <v>46294</v>
      </c>
      <c r="F17" s="9" t="n"/>
      <c r="G17" s="8" t="inlineStr"/>
      <c r="H17" s="10" t="inlineStr">
        <is>
          <t>王杰</t>
        </is>
      </c>
      <c r="I17" s="11">
        <f>IF(OR(E17="",F17=""),"待填",F17-E17)</f>
        <v/>
      </c>
    </row>
    <row r="18" ht="32" customHeight="1">
      <c r="A18" s="2" t="n"/>
      <c r="B18" s="3" t="n"/>
      <c r="C18" s="4" t="inlineStr">
        <is>
          <t>PAB090·双级样机</t>
        </is>
      </c>
      <c r="D18" s="4" t="inlineStr">
        <is>
          <t>完成 PAB090 双级样机。协助人：吴晨阳。</t>
        </is>
      </c>
      <c r="E18" s="5" t="n">
        <v>46295</v>
      </c>
      <c r="F18" s="5" t="n"/>
      <c r="G18" s="4" t="inlineStr"/>
      <c r="H18" s="6" t="inlineStr">
        <is>
          <t>王杰</t>
        </is>
      </c>
      <c r="I18" s="7">
        <f>IF(OR(E18="",F18=""),"待填",F18-E18)</f>
        <v/>
      </c>
    </row>
    <row r="19" ht="32" customHeight="1">
      <c r="A19" s="2" t="n"/>
      <c r="B19" s="3" t="inlineStr">
        <is>
          <t>PAB115</t>
        </is>
      </c>
      <c r="C19" s="8" t="inlineStr">
        <is>
          <t>PAB115·零件到位</t>
        </is>
      </c>
      <c r="D19" s="8" t="inlineStr">
        <is>
          <t>PAB115 零件到位（原文标注：国庆假期）。协助人：吴晨阳。</t>
        </is>
      </c>
      <c r="E19" s="9" t="n">
        <v>46303</v>
      </c>
      <c r="F19" s="9" t="n"/>
      <c r="G19" s="8" t="inlineStr"/>
      <c r="H19" s="10" t="inlineStr">
        <is>
          <t>王杰</t>
        </is>
      </c>
      <c r="I19" s="11">
        <f>IF(OR(E19="",F19=""),"待填",F19-E19)</f>
        <v/>
      </c>
    </row>
    <row r="20" ht="32" customHeight="1">
      <c r="A20" s="2" t="n"/>
      <c r="B20" s="3" t="n"/>
      <c r="C20" s="4" t="inlineStr">
        <is>
          <t>PAB115·工装图纸绘制</t>
        </is>
      </c>
      <c r="D20" s="4" t="inlineStr">
        <is>
          <t>PAB115 工装图纸绘制完成。协助人：吴晨阳。</t>
        </is>
      </c>
      <c r="E20" s="5" t="n">
        <v>46269</v>
      </c>
      <c r="F20" s="5" t="n"/>
      <c r="G20" s="4" t="inlineStr"/>
      <c r="H20" s="6" t="inlineStr">
        <is>
          <t>王杰</t>
        </is>
      </c>
      <c r="I20" s="7">
        <f>IF(OR(E20="",F20=""),"待填",F20-E20)</f>
        <v/>
      </c>
    </row>
    <row r="21" ht="32" customHeight="1">
      <c r="A21" s="2" t="n"/>
      <c r="B21" s="3" t="n"/>
      <c r="C21" s="8" t="inlineStr">
        <is>
          <t>PAB115·工装实物到位</t>
        </is>
      </c>
      <c r="D21" s="8" t="inlineStr">
        <is>
          <t>PAB115 工装实物到位。协助人：吴晨阳。</t>
        </is>
      </c>
      <c r="E21" s="9" t="n">
        <v>46290</v>
      </c>
      <c r="F21" s="9" t="n"/>
      <c r="G21" s="8" t="inlineStr"/>
      <c r="H21" s="10" t="inlineStr">
        <is>
          <t>王杰</t>
        </is>
      </c>
      <c r="I21" s="11">
        <f>IF(OR(E21="",F21=""),"待填",F21-E21)</f>
        <v/>
      </c>
    </row>
    <row r="22" ht="32" customHeight="1">
      <c r="A22" s="2" t="n"/>
      <c r="B22" s="3" t="n"/>
      <c r="C22" s="4" t="inlineStr">
        <is>
          <t>PAB115·排针机安装调试</t>
        </is>
      </c>
      <c r="D22" s="4" t="inlineStr">
        <is>
          <t>排针机1安装到位并调试完毕。协助人：王杰。</t>
        </is>
      </c>
      <c r="E22" s="5" t="n">
        <v>46303</v>
      </c>
      <c r="F22" s="5" t="n"/>
      <c r="G22" s="4" t="inlineStr"/>
      <c r="H22" s="6" t="inlineStr">
        <is>
          <t>吴金平</t>
        </is>
      </c>
      <c r="I22" s="7">
        <f>IF(OR(E22="",F22=""),"待填",F22-E22)</f>
        <v/>
      </c>
    </row>
    <row r="23" ht="32" customHeight="1">
      <c r="A23" s="2" t="n"/>
      <c r="B23" s="3" t="n"/>
      <c r="C23" s="8" t="inlineStr">
        <is>
          <t>PAB115·单级样机</t>
        </is>
      </c>
      <c r="D23" s="8" t="inlineStr">
        <is>
          <t>完成 PAB115 单级样机。协助人：吴晨阳。</t>
        </is>
      </c>
      <c r="E23" s="9" t="n">
        <v>46304</v>
      </c>
      <c r="F23" s="9" t="n"/>
      <c r="G23" s="8" t="inlineStr"/>
      <c r="H23" s="10" t="inlineStr">
        <is>
          <t>王杰</t>
        </is>
      </c>
      <c r="I23" s="11">
        <f>IF(OR(E23="",F23=""),"待填",F23-E23)</f>
        <v/>
      </c>
    </row>
    <row r="24" ht="32" customHeight="1">
      <c r="A24" s="2" t="n"/>
      <c r="B24" s="3" t="n"/>
      <c r="C24" s="4" t="inlineStr">
        <is>
          <t>PAB115·双级样机</t>
        </is>
      </c>
      <c r="D24" s="4" t="inlineStr">
        <is>
          <t>完成 PAB115 双级样机。协助人：吴晨阳。</t>
        </is>
      </c>
      <c r="E24" s="5" t="n">
        <v>46306</v>
      </c>
      <c r="F24" s="5" t="n"/>
      <c r="G24" s="4" t="inlineStr"/>
      <c r="H24" s="6" t="inlineStr">
        <is>
          <t>王杰</t>
        </is>
      </c>
      <c r="I24" s="7">
        <f>IF(OR(E24="",F24=""),"待填",F24-E24)</f>
        <v/>
      </c>
    </row>
    <row r="25" ht="32" customHeight="1">
      <c r="A25" s="2" t="n"/>
      <c r="B25" s="3" t="inlineStr">
        <is>
          <t>PAB142</t>
        </is>
      </c>
      <c r="C25" s="8" t="inlineStr">
        <is>
          <t>PAB142·零件到位</t>
        </is>
      </c>
      <c r="D25" s="8" t="inlineStr">
        <is>
          <t>PAB142 零件到位。协助人：吴晨阳。</t>
        </is>
      </c>
      <c r="E25" s="9" t="n">
        <v>46307</v>
      </c>
      <c r="F25" s="9" t="n"/>
      <c r="G25" s="8" t="inlineStr"/>
      <c r="H25" s="10" t="inlineStr">
        <is>
          <t>王杰</t>
        </is>
      </c>
      <c r="I25" s="11">
        <f>IF(OR(E25="",F25=""),"待填",F25-E25)</f>
        <v/>
      </c>
    </row>
    <row r="26" ht="32" customHeight="1">
      <c r="A26" s="2" t="n"/>
      <c r="B26" s="3" t="n"/>
      <c r="C26" s="4" t="inlineStr">
        <is>
          <t>PAB142·工装图纸绘制</t>
        </is>
      </c>
      <c r="D26" s="4" t="inlineStr">
        <is>
          <t>PAB142 工装图纸绘制完成。协助人：吴晨阳。</t>
        </is>
      </c>
      <c r="E26" s="5" t="n">
        <v>46269</v>
      </c>
      <c r="F26" s="5" t="n"/>
      <c r="G26" s="4" t="inlineStr"/>
      <c r="H26" s="6" t="inlineStr">
        <is>
          <t>王杰</t>
        </is>
      </c>
      <c r="I26" s="7">
        <f>IF(OR(E26="",F26=""),"待填",F26-E26)</f>
        <v/>
      </c>
    </row>
    <row r="27" ht="32" customHeight="1">
      <c r="A27" s="2" t="n"/>
      <c r="B27" s="3" t="n"/>
      <c r="C27" s="8" t="inlineStr">
        <is>
          <t>PAB142·工装实物到位</t>
        </is>
      </c>
      <c r="D27" s="8" t="inlineStr">
        <is>
          <t>PAB142 工装实物到位。协助人：吴晨阳。</t>
        </is>
      </c>
      <c r="E27" s="9" t="n">
        <v>46294</v>
      </c>
      <c r="F27" s="9" t="n"/>
      <c r="G27" s="8" t="inlineStr"/>
      <c r="H27" s="10" t="inlineStr">
        <is>
          <t>王杰</t>
        </is>
      </c>
      <c r="I27" s="11">
        <f>IF(OR(E27="",F27=""),"待填",F27-E27)</f>
        <v/>
      </c>
    </row>
    <row r="28" ht="32" customHeight="1">
      <c r="A28" s="2" t="n"/>
      <c r="B28" s="3" t="n"/>
      <c r="C28" s="4" t="inlineStr">
        <is>
          <t>PAB142·排针机安装调试</t>
        </is>
      </c>
      <c r="D28" s="4" t="inlineStr">
        <is>
          <t>排针机1、排针机2安装到位并调试完毕。协助人：王杰。</t>
        </is>
      </c>
      <c r="E28" s="5" t="n">
        <v>46307</v>
      </c>
      <c r="F28" s="5" t="n"/>
      <c r="G28" s="4" t="inlineStr"/>
      <c r="H28" s="6" t="inlineStr">
        <is>
          <t>吴金平</t>
        </is>
      </c>
      <c r="I28" s="7">
        <f>IF(OR(E28="",F28=""),"待填",F28-E28)</f>
        <v/>
      </c>
    </row>
    <row r="29" ht="32" customHeight="1">
      <c r="A29" s="2" t="n"/>
      <c r="B29" s="3" t="n"/>
      <c r="C29" s="8" t="inlineStr">
        <is>
          <t>PAB142·单级样机</t>
        </is>
      </c>
      <c r="D29" s="8" t="inlineStr">
        <is>
          <t>完成 PAB142 单级样机。协助人：吴晨阳。</t>
        </is>
      </c>
      <c r="E29" s="9" t="n">
        <v>46308</v>
      </c>
      <c r="F29" s="9" t="n"/>
      <c r="G29" s="8" t="inlineStr"/>
      <c r="H29" s="10" t="inlineStr">
        <is>
          <t>王杰</t>
        </is>
      </c>
      <c r="I29" s="11">
        <f>IF(OR(E29="",F29=""),"待填",F29-E29)</f>
        <v/>
      </c>
    </row>
    <row r="30" ht="32" customHeight="1">
      <c r="A30" s="2" t="n"/>
      <c r="B30" s="3" t="n"/>
      <c r="C30" s="4" t="inlineStr">
        <is>
          <t>PAB142·双级样机</t>
        </is>
      </c>
      <c r="D30" s="4" t="inlineStr">
        <is>
          <t>完成 PAB142 双级样机。协助人：吴晨阳。</t>
        </is>
      </c>
      <c r="E30" s="5" t="n">
        <v>46310</v>
      </c>
      <c r="F30" s="5" t="n"/>
      <c r="G30" s="4" t="inlineStr"/>
      <c r="H30" s="6" t="inlineStr">
        <is>
          <t>王杰</t>
        </is>
      </c>
      <c r="I30" s="7">
        <f>IF(OR(E30="",F30=""),"待填",F30-E30)</f>
        <v/>
      </c>
    </row>
    <row r="31" ht="32" customHeight="1">
      <c r="A31" s="12" t="inlineStr">
        <is>
          <t>第二期</t>
        </is>
      </c>
      <c r="B31" s="3" t="inlineStr">
        <is>
          <t>前期准备</t>
        </is>
      </c>
      <c r="C31" s="8" t="inlineStr">
        <is>
          <t>二期零件图纸整理归档</t>
        </is>
      </c>
      <c r="D31" s="8" t="inlineStr">
        <is>
          <t>四批型号单级和双级所涉零件图纸整理完毕并分类归档。范围：PAB180、PAB220。协助人：吴晨阳。</t>
        </is>
      </c>
      <c r="E31" s="9" t="n">
        <v>46272</v>
      </c>
      <c r="F31" s="9" t="n"/>
      <c r="G31" s="8" t="inlineStr"/>
      <c r="H31" s="10" t="inlineStr">
        <is>
          <t>王杰</t>
        </is>
      </c>
      <c r="I31" s="11">
        <f>IF(OR(E31="",F31=""),"待填",F31-E31)</f>
        <v/>
      </c>
    </row>
    <row r="32" ht="32" customHeight="1">
      <c r="A32" s="12" t="n"/>
      <c r="B32" s="3" t="n"/>
      <c r="C32" s="4" t="inlineStr">
        <is>
          <t>二期零件下单采购</t>
        </is>
      </c>
      <c r="D32" s="4" t="inlineStr">
        <is>
          <t>各零件形成采购表单并填写数量，单级和双级各10台。范围：PAB180、PAB220。</t>
        </is>
      </c>
      <c r="E32" s="5" t="n">
        <v>46275</v>
      </c>
      <c r="F32" s="5" t="n"/>
      <c r="G32" s="4" t="inlineStr"/>
      <c r="H32" s="6" t="inlineStr">
        <is>
          <t>王杰</t>
        </is>
      </c>
      <c r="I32" s="7">
        <f>IF(OR(E32="",F32=""),"待填",F32-E32)</f>
        <v/>
      </c>
    </row>
    <row r="33" ht="32" customHeight="1">
      <c r="A33" s="12" t="n"/>
      <c r="B33" s="3" t="n"/>
      <c r="C33" s="8" t="inlineStr">
        <is>
          <t>二期标准件下单采购</t>
        </is>
      </c>
      <c r="D33" s="8" t="inlineStr">
        <is>
          <t>各标准件形成采购表单并填写数量。范围：PAB180、PAB220。</t>
        </is>
      </c>
      <c r="E33" s="9" t="n">
        <v>46275</v>
      </c>
      <c r="F33" s="9" t="n"/>
      <c r="G33" s="8" t="inlineStr"/>
      <c r="H33" s="10" t="inlineStr">
        <is>
          <t>王杰</t>
        </is>
      </c>
      <c r="I33" s="11">
        <f>IF(OR(E33="",F33=""),"待填",F33-E33)</f>
        <v/>
      </c>
    </row>
    <row r="34" ht="32" customHeight="1">
      <c r="A34" s="12" t="n"/>
      <c r="B34" s="3" t="inlineStr">
        <is>
          <t>PAB180</t>
        </is>
      </c>
      <c r="C34" s="4" t="inlineStr">
        <is>
          <t>PAB180·零件到位</t>
        </is>
      </c>
      <c r="D34" s="4" t="inlineStr">
        <is>
          <t>PAB180 零件到位（原文标注：国庆假期）。协助人：吴晨阳。</t>
        </is>
      </c>
      <c r="E34" s="5" t="n">
        <v>46310</v>
      </c>
      <c r="F34" s="5" t="n"/>
      <c r="G34" s="4" t="inlineStr"/>
      <c r="H34" s="6" t="inlineStr">
        <is>
          <t>王杰</t>
        </is>
      </c>
      <c r="I34" s="7">
        <f>IF(OR(E34="",F34=""),"待填",F34-E34)</f>
        <v/>
      </c>
    </row>
    <row r="35" ht="32" customHeight="1">
      <c r="A35" s="12" t="n"/>
      <c r="B35" s="3" t="n"/>
      <c r="C35" s="8" t="inlineStr">
        <is>
          <t>PAB180·工装图纸绘制</t>
        </is>
      </c>
      <c r="D35" s="8" t="inlineStr">
        <is>
          <t>PAB180 工装图纸绘制完成。协助人：吴晨阳。</t>
        </is>
      </c>
      <c r="E35" s="9" t="n">
        <v>46276</v>
      </c>
      <c r="F35" s="9" t="n"/>
      <c r="G35" s="8" t="inlineStr"/>
      <c r="H35" s="10" t="inlineStr">
        <is>
          <t>王杰</t>
        </is>
      </c>
      <c r="I35" s="11">
        <f>IF(OR(E35="",F35=""),"待填",F35-E35)</f>
        <v/>
      </c>
    </row>
    <row r="36" ht="32" customHeight="1">
      <c r="A36" s="12" t="n"/>
      <c r="B36" s="3" t="n"/>
      <c r="C36" s="4" t="inlineStr">
        <is>
          <t>PAB180·工装实物到位</t>
        </is>
      </c>
      <c r="D36" s="4" t="inlineStr">
        <is>
          <t>PAB180 工装实物到位。协助人：吴晨阳。</t>
        </is>
      </c>
      <c r="E36" s="5" t="n">
        <v>46303</v>
      </c>
      <c r="F36" s="5" t="n"/>
      <c r="G36" s="4" t="inlineStr"/>
      <c r="H36" s="6" t="inlineStr">
        <is>
          <t>王杰</t>
        </is>
      </c>
      <c r="I36" s="7">
        <f>IF(OR(E36="",F36=""),"待填",F36-E36)</f>
        <v/>
      </c>
    </row>
    <row r="37" ht="32" customHeight="1">
      <c r="A37" s="12" t="n"/>
      <c r="B37" s="3" t="n"/>
      <c r="C37" s="8" t="inlineStr">
        <is>
          <t>PAB180·排针机安装调试</t>
        </is>
      </c>
      <c r="D37" s="8" t="inlineStr">
        <is>
          <t>排针机1、排针机2安装到位并调试完毕。协助人：王杰。</t>
        </is>
      </c>
      <c r="E37" s="9" t="n">
        <v>46310</v>
      </c>
      <c r="F37" s="9" t="n"/>
      <c r="G37" s="8" t="inlineStr"/>
      <c r="H37" s="10" t="inlineStr">
        <is>
          <t>吴金平</t>
        </is>
      </c>
      <c r="I37" s="11">
        <f>IF(OR(E37="",F37=""),"待填",F37-E37)</f>
        <v/>
      </c>
    </row>
    <row r="38" ht="32" customHeight="1">
      <c r="A38" s="12" t="n"/>
      <c r="B38" s="3" t="n"/>
      <c r="C38" s="4" t="inlineStr">
        <is>
          <t>PAB180·单级样机</t>
        </is>
      </c>
      <c r="D38" s="4" t="inlineStr">
        <is>
          <t>完成 PAB180 单级样机。协助人：吴晨阳。</t>
        </is>
      </c>
      <c r="E38" s="5" t="n">
        <v>46311</v>
      </c>
      <c r="F38" s="5" t="n"/>
      <c r="G38" s="4" t="inlineStr"/>
      <c r="H38" s="6" t="inlineStr">
        <is>
          <t>王杰</t>
        </is>
      </c>
      <c r="I38" s="7">
        <f>IF(OR(E38="",F38=""),"待填",F38-E38)</f>
        <v/>
      </c>
    </row>
    <row r="39" ht="32" customHeight="1">
      <c r="A39" s="12" t="n"/>
      <c r="B39" s="3" t="n"/>
      <c r="C39" s="8" t="inlineStr">
        <is>
          <t>PAB180·双级样机</t>
        </is>
      </c>
      <c r="D39" s="8" t="inlineStr">
        <is>
          <t>完成 PAB180 双级样机。协助人：吴晨阳。</t>
        </is>
      </c>
      <c r="E39" s="9" t="n">
        <v>46314</v>
      </c>
      <c r="F39" s="9" t="n"/>
      <c r="G39" s="8" t="inlineStr"/>
      <c r="H39" s="10" t="inlineStr">
        <is>
          <t>王杰</t>
        </is>
      </c>
      <c r="I39" s="11">
        <f>IF(OR(E39="",F39=""),"待填",F39-E39)</f>
        <v/>
      </c>
    </row>
    <row r="40" ht="32" customHeight="1">
      <c r="A40" s="12" t="n"/>
      <c r="B40" s="3" t="inlineStr">
        <is>
          <t>PAB220</t>
        </is>
      </c>
      <c r="C40" s="4" t="inlineStr">
        <is>
          <t>PAB220·零件到位</t>
        </is>
      </c>
      <c r="D40" s="4" t="inlineStr">
        <is>
          <t>PAB220 零件到位（原文标注：国庆假期）。协助人：吴晨阳。</t>
        </is>
      </c>
      <c r="E40" s="5" t="n">
        <v>46315</v>
      </c>
      <c r="F40" s="5" t="n"/>
      <c r="G40" s="4" t="inlineStr"/>
      <c r="H40" s="6" t="inlineStr">
        <is>
          <t>王杰</t>
        </is>
      </c>
      <c r="I40" s="7">
        <f>IF(OR(E40="",F40=""),"待填",F40-E40)</f>
        <v/>
      </c>
    </row>
    <row r="41" ht="32" customHeight="1">
      <c r="A41" s="12" t="n"/>
      <c r="B41" s="3" t="n"/>
      <c r="C41" s="8" t="inlineStr">
        <is>
          <t>PAB220·工装图纸绘制</t>
        </is>
      </c>
      <c r="D41" s="8" t="inlineStr">
        <is>
          <t>PAB220 工装图纸绘制完成。协助人：吴晨阳。</t>
        </is>
      </c>
      <c r="E41" s="9" t="n">
        <v>46279</v>
      </c>
      <c r="F41" s="9" t="n"/>
      <c r="G41" s="8" t="inlineStr"/>
      <c r="H41" s="10" t="inlineStr">
        <is>
          <t>王杰</t>
        </is>
      </c>
      <c r="I41" s="11">
        <f>IF(OR(E41="",F41=""),"待填",F41-E41)</f>
        <v/>
      </c>
    </row>
    <row r="42" ht="32" customHeight="1">
      <c r="A42" s="12" t="n"/>
      <c r="B42" s="3" t="n"/>
      <c r="C42" s="4" t="inlineStr">
        <is>
          <t>PAB220·工装实物到位</t>
        </is>
      </c>
      <c r="D42" s="4" t="inlineStr">
        <is>
          <t>PAB220 工装实物到位。协助人：吴晨阳。</t>
        </is>
      </c>
      <c r="E42" s="5" t="n">
        <v>46305</v>
      </c>
      <c r="F42" s="5" t="n"/>
      <c r="G42" s="4" t="inlineStr"/>
      <c r="H42" s="6" t="inlineStr">
        <is>
          <t>王杰</t>
        </is>
      </c>
      <c r="I42" s="7">
        <f>IF(OR(E42="",F42=""),"待填",F42-E42)</f>
        <v/>
      </c>
    </row>
    <row r="43" ht="32" customHeight="1">
      <c r="A43" s="12" t="n"/>
      <c r="B43" s="3" t="n"/>
      <c r="C43" s="8" t="inlineStr">
        <is>
          <t>PAB220·排针机安装调试</t>
        </is>
      </c>
      <c r="D43" s="8" t="inlineStr">
        <is>
          <t>排针机1、排针机2安装到位并调试完毕。协助人：王杰。</t>
        </is>
      </c>
      <c r="E43" s="9" t="n">
        <v>46315</v>
      </c>
      <c r="F43" s="9" t="n"/>
      <c r="G43" s="8" t="inlineStr"/>
      <c r="H43" s="10" t="inlineStr">
        <is>
          <t>吴金平</t>
        </is>
      </c>
      <c r="I43" s="11">
        <f>IF(OR(E43="",F43=""),"待填",F43-E43)</f>
        <v/>
      </c>
    </row>
    <row r="44" ht="32" customHeight="1">
      <c r="A44" s="12" t="n"/>
      <c r="B44" s="3" t="n"/>
      <c r="C44" s="4" t="inlineStr">
        <is>
          <t>PAB220·单级样机</t>
        </is>
      </c>
      <c r="D44" s="4" t="inlineStr">
        <is>
          <t>完成 PAB220 单级样机。协助人：吴晨阳。</t>
        </is>
      </c>
      <c r="E44" s="5" t="n">
        <v>46316</v>
      </c>
      <c r="F44" s="5" t="n"/>
      <c r="G44" s="4" t="inlineStr"/>
      <c r="H44" s="6" t="inlineStr">
        <is>
          <t>王杰</t>
        </is>
      </c>
      <c r="I44" s="7">
        <f>IF(OR(E44="",F44=""),"待填",F44-E44)</f>
        <v/>
      </c>
    </row>
    <row r="45" ht="32" customHeight="1">
      <c r="A45" s="12" t="n"/>
      <c r="B45" s="3" t="n"/>
      <c r="C45" s="8" t="inlineStr">
        <is>
          <t>PAB220·双级样机</t>
        </is>
      </c>
      <c r="D45" s="8" t="inlineStr">
        <is>
          <t>完成 PAB220 双级样机。协助人：吴晨阳。</t>
        </is>
      </c>
      <c r="E45" s="9" t="n">
        <v>46318</v>
      </c>
      <c r="F45" s="9" t="n"/>
      <c r="G45" s="8" t="inlineStr"/>
      <c r="H45" s="10" t="inlineStr">
        <is>
          <t>王杰</t>
        </is>
      </c>
      <c r="I45" s="11">
        <f>IF(OR(E45="",F45=""),"待填",F45-E45)</f>
        <v/>
      </c>
    </row>
    <row r="46">
      <c r="E46" s="13" t="n"/>
      <c r="F46" s="13" t="n"/>
    </row>
    <row r="47" ht="48" customHeight="1">
      <c r="A47" s="14" t="inlineStr">
        <is>
          <t>说明：A列按第一期/第二期合并，B列按任务组合并。偏移天数=实际−预估（正值延期）。日期请在本表 E/F 列填写（不要手工涂色）：预估有日期后自动蓝底，实际填写后按时绿底、超时红底。甘特图色条随本表日期自动变长/变色，见工作表「甘特图」（向右滚动查看按天色条）。</t>
        </is>
      </c>
    </row>
    <row r="48">
      <c r="E48" s="13" t="n"/>
      <c r="F48" s="13" t="n"/>
    </row>
    <row r="49">
      <c r="E49" s="13" t="n"/>
      <c r="F49" s="13" t="n"/>
    </row>
    <row r="50">
      <c r="E50" s="13" t="n"/>
      <c r="F50" s="13" t="n"/>
    </row>
    <row r="51">
      <c r="E51" s="13" t="n"/>
      <c r="F51" s="13" t="n"/>
    </row>
    <row r="52">
      <c r="E52" s="13" t="n"/>
      <c r="F52" s="13" t="n"/>
    </row>
    <row r="53">
      <c r="E53" s="13" t="n"/>
      <c r="F53" s="13" t="n"/>
    </row>
    <row r="54">
      <c r="E54" s="13" t="n"/>
      <c r="F54" s="13" t="n"/>
    </row>
    <row r="55">
      <c r="E55" s="13" t="n"/>
      <c r="F55" s="13" t="n"/>
    </row>
    <row r="56">
      <c r="E56" s="13" t="n"/>
      <c r="F56" s="13" t="n"/>
    </row>
    <row r="57">
      <c r="E57" s="13" t="n"/>
      <c r="F57" s="13" t="n"/>
    </row>
    <row r="58">
      <c r="E58" s="13" t="n"/>
      <c r="F58" s="13" t="n"/>
    </row>
    <row r="59">
      <c r="E59" s="13" t="n"/>
      <c r="F59" s="13" t="n"/>
    </row>
    <row r="60">
      <c r="E60" s="13" t="n"/>
      <c r="F60" s="13" t="n"/>
    </row>
    <row r="61">
      <c r="E61" s="13" t="n"/>
      <c r="F61" s="13" t="n"/>
    </row>
    <row r="62">
      <c r="E62" s="13" t="n"/>
      <c r="F62" s="13" t="n"/>
    </row>
    <row r="63">
      <c r="E63" s="13" t="n"/>
      <c r="F63" s="13" t="n"/>
    </row>
    <row r="64">
      <c r="E64" s="13" t="n"/>
      <c r="F64" s="13" t="n"/>
    </row>
    <row r="65">
      <c r="E65" s="13" t="n"/>
      <c r="F65" s="13" t="n"/>
    </row>
    <row r="66">
      <c r="E66" s="13" t="n"/>
      <c r="F66" s="13" t="n"/>
    </row>
    <row r="67">
      <c r="E67" s="13" t="n"/>
      <c r="F67" s="13" t="n"/>
    </row>
    <row r="68">
      <c r="E68" s="13" t="n"/>
      <c r="F68" s="13" t="n"/>
    </row>
    <row r="69">
      <c r="E69" s="13" t="n"/>
      <c r="F69" s="13" t="n"/>
    </row>
    <row r="70">
      <c r="E70" s="13" t="n"/>
      <c r="F70" s="13" t="n"/>
    </row>
    <row r="71">
      <c r="E71" s="13" t="n"/>
      <c r="F71" s="13" t="n"/>
    </row>
    <row r="72">
      <c r="E72" s="13" t="n"/>
      <c r="F72" s="13" t="n"/>
    </row>
    <row r="73">
      <c r="E73" s="13" t="n"/>
      <c r="F73" s="13" t="n"/>
    </row>
    <row r="74">
      <c r="E74" s="13" t="n"/>
      <c r="F74" s="13" t="n"/>
    </row>
    <row r="75">
      <c r="E75" s="13" t="n"/>
      <c r="F75" s="13" t="n"/>
    </row>
    <row r="76">
      <c r="E76" s="13" t="n"/>
      <c r="F76" s="13" t="n"/>
    </row>
    <row r="77">
      <c r="E77" s="13" t="n"/>
      <c r="F77" s="13" t="n"/>
    </row>
    <row r="78">
      <c r="E78" s="13" t="n"/>
      <c r="F78" s="13" t="n"/>
    </row>
    <row r="79">
      <c r="E79" s="13" t="n"/>
      <c r="F79" s="13" t="n"/>
    </row>
    <row r="80">
      <c r="E80" s="13" t="n"/>
      <c r="F80" s="13" t="n"/>
    </row>
    <row r="81">
      <c r="E81" s="13" t="n"/>
      <c r="F81" s="13" t="n"/>
    </row>
    <row r="82">
      <c r="E82" s="13" t="n"/>
      <c r="F82" s="13" t="n"/>
    </row>
    <row r="83">
      <c r="E83" s="13" t="n"/>
      <c r="F83" s="13" t="n"/>
    </row>
    <row r="84">
      <c r="E84" s="13" t="n"/>
      <c r="F84" s="13" t="n"/>
    </row>
    <row r="85">
      <c r="E85" s="13" t="n"/>
      <c r="F85" s="13" t="n"/>
    </row>
    <row r="86">
      <c r="E86" s="13" t="n"/>
      <c r="F86" s="13" t="n"/>
    </row>
    <row r="87">
      <c r="E87" s="13" t="n"/>
      <c r="F87" s="13" t="n"/>
    </row>
    <row r="88">
      <c r="E88" s="13" t="n"/>
      <c r="F88" s="13" t="n"/>
    </row>
    <row r="89">
      <c r="E89" s="13" t="n"/>
      <c r="F89" s="13" t="n"/>
    </row>
    <row r="90">
      <c r="E90" s="13" t="n"/>
      <c r="F90" s="13" t="n"/>
    </row>
    <row r="91">
      <c r="E91" s="13" t="n"/>
      <c r="F91" s="13" t="n"/>
    </row>
    <row r="92">
      <c r="E92" s="13" t="n"/>
      <c r="F92" s="13" t="n"/>
    </row>
    <row r="93">
      <c r="E93" s="13" t="n"/>
      <c r="F93" s="13" t="n"/>
    </row>
    <row r="94">
      <c r="E94" s="13" t="n"/>
      <c r="F94" s="13" t="n"/>
    </row>
    <row r="95">
      <c r="E95" s="13" t="n"/>
      <c r="F95" s="13" t="n"/>
    </row>
    <row r="96">
      <c r="E96" s="13" t="n"/>
      <c r="F96" s="13" t="n"/>
    </row>
    <row r="97">
      <c r="E97" s="13" t="n"/>
      <c r="F97" s="13" t="n"/>
    </row>
    <row r="98">
      <c r="E98" s="13" t="n"/>
      <c r="F98" s="13" t="n"/>
    </row>
    <row r="99">
      <c r="E99" s="13" t="n"/>
      <c r="F99" s="13" t="n"/>
    </row>
    <row r="100">
      <c r="E100" s="13" t="n"/>
      <c r="F100" s="13" t="n"/>
    </row>
    <row r="101">
      <c r="E101" s="13" t="n"/>
      <c r="F101" s="13" t="n"/>
    </row>
    <row r="102">
      <c r="E102" s="13" t="n"/>
      <c r="F102" s="13" t="n"/>
    </row>
    <row r="103">
      <c r="E103" s="13" t="n"/>
      <c r="F103" s="13" t="n"/>
    </row>
    <row r="104">
      <c r="E104" s="13" t="n"/>
      <c r="F104" s="13" t="n"/>
    </row>
    <row r="105">
      <c r="E105" s="13" t="n"/>
      <c r="F105" s="13" t="n"/>
    </row>
    <row r="106">
      <c r="E106" s="13" t="n"/>
      <c r="F106" s="13" t="n"/>
    </row>
    <row r="107">
      <c r="E107" s="13" t="n"/>
      <c r="F107" s="13" t="n"/>
    </row>
    <row r="108">
      <c r="E108" s="13" t="n"/>
      <c r="F108" s="13" t="n"/>
    </row>
    <row r="109">
      <c r="E109" s="13" t="n"/>
      <c r="F109" s="13" t="n"/>
    </row>
    <row r="110">
      <c r="E110" s="13" t="n"/>
      <c r="F110" s="13" t="n"/>
    </row>
    <row r="111">
      <c r="E111" s="13" t="n"/>
      <c r="F111" s="13" t="n"/>
    </row>
    <row r="112">
      <c r="E112" s="13" t="n"/>
      <c r="F112" s="13" t="n"/>
    </row>
    <row r="113">
      <c r="E113" s="13" t="n"/>
      <c r="F113" s="13" t="n"/>
    </row>
    <row r="114">
      <c r="E114" s="13" t="n"/>
      <c r="F114" s="13" t="n"/>
    </row>
    <row r="115">
      <c r="E115" s="13" t="n"/>
      <c r="F115" s="13" t="n"/>
    </row>
    <row r="116">
      <c r="E116" s="13" t="n"/>
      <c r="F116" s="13" t="n"/>
    </row>
    <row r="117">
      <c r="E117" s="13" t="n"/>
      <c r="F117" s="13" t="n"/>
    </row>
    <row r="118">
      <c r="E118" s="13" t="n"/>
      <c r="F118" s="13" t="n"/>
    </row>
    <row r="119">
      <c r="E119" s="13" t="n"/>
      <c r="F119" s="13" t="n"/>
    </row>
    <row r="120">
      <c r="E120" s="13" t="n"/>
      <c r="F120" s="13" t="n"/>
    </row>
    <row r="121">
      <c r="E121" s="13" t="n"/>
      <c r="F121" s="13" t="n"/>
    </row>
    <row r="122">
      <c r="E122" s="13" t="n"/>
      <c r="F122" s="13" t="n"/>
    </row>
    <row r="123">
      <c r="E123" s="13" t="n"/>
      <c r="F123" s="13" t="n"/>
    </row>
    <row r="124">
      <c r="E124" s="13" t="n"/>
      <c r="F124" s="13" t="n"/>
    </row>
    <row r="125">
      <c r="E125" s="13" t="n"/>
      <c r="F125" s="13" t="n"/>
    </row>
    <row r="126">
      <c r="E126" s="13" t="n"/>
      <c r="F126" s="13" t="n"/>
    </row>
    <row r="127">
      <c r="E127" s="13" t="n"/>
      <c r="F127" s="13" t="n"/>
    </row>
    <row r="128">
      <c r="E128" s="13" t="n"/>
      <c r="F128" s="13" t="n"/>
    </row>
    <row r="129">
      <c r="E129" s="13" t="n"/>
      <c r="F129" s="13" t="n"/>
    </row>
    <row r="130">
      <c r="E130" s="13" t="n"/>
      <c r="F130" s="13" t="n"/>
    </row>
    <row r="131">
      <c r="E131" s="13" t="n"/>
      <c r="F131" s="13" t="n"/>
    </row>
    <row r="132">
      <c r="E132" s="13" t="n"/>
      <c r="F132" s="13" t="n"/>
    </row>
    <row r="133">
      <c r="E133" s="13" t="n"/>
      <c r="F133" s="13" t="n"/>
    </row>
    <row r="134">
      <c r="E134" s="13" t="n"/>
      <c r="F134" s="13" t="n"/>
    </row>
    <row r="135">
      <c r="E135" s="13" t="n"/>
      <c r="F135" s="13" t="n"/>
    </row>
    <row r="136">
      <c r="E136" s="13" t="n"/>
      <c r="F136" s="13" t="n"/>
    </row>
    <row r="137">
      <c r="E137" s="13" t="n"/>
      <c r="F137" s="13" t="n"/>
    </row>
    <row r="138">
      <c r="E138" s="13" t="n"/>
      <c r="F138" s="13" t="n"/>
    </row>
    <row r="139">
      <c r="E139" s="13" t="n"/>
      <c r="F139" s="13" t="n"/>
    </row>
    <row r="140">
      <c r="E140" s="13" t="n"/>
      <c r="F140" s="13" t="n"/>
    </row>
    <row r="141">
      <c r="E141" s="13" t="n"/>
      <c r="F141" s="13" t="n"/>
    </row>
    <row r="142">
      <c r="E142" s="13" t="n"/>
      <c r="F142" s="13" t="n"/>
    </row>
    <row r="143">
      <c r="E143" s="13" t="n"/>
      <c r="F143" s="13" t="n"/>
    </row>
    <row r="144">
      <c r="E144" s="13" t="n"/>
      <c r="F144" s="13" t="n"/>
    </row>
    <row r="145">
      <c r="E145" s="13" t="n"/>
      <c r="F145" s="13" t="n"/>
    </row>
    <row r="146">
      <c r="E146" s="13" t="n"/>
      <c r="F146" s="13" t="n"/>
    </row>
    <row r="147">
      <c r="E147" s="13" t="n"/>
      <c r="F147" s="13" t="n"/>
    </row>
    <row r="148">
      <c r="E148" s="13" t="n"/>
      <c r="F148" s="13" t="n"/>
    </row>
    <row r="149">
      <c r="E149" s="13" t="n"/>
      <c r="F149" s="13" t="n"/>
    </row>
    <row r="150">
      <c r="E150" s="13" t="n"/>
      <c r="F150" s="13" t="n"/>
    </row>
    <row r="151">
      <c r="E151" s="13" t="n"/>
      <c r="F151" s="13" t="n"/>
    </row>
    <row r="152">
      <c r="E152" s="13" t="n"/>
      <c r="F152" s="13" t="n"/>
    </row>
    <row r="153">
      <c r="E153" s="13" t="n"/>
      <c r="F153" s="13" t="n"/>
    </row>
    <row r="154">
      <c r="E154" s="13" t="n"/>
      <c r="F154" s="13" t="n"/>
    </row>
    <row r="155">
      <c r="E155" s="13" t="n"/>
      <c r="F155" s="13" t="n"/>
    </row>
    <row r="156">
      <c r="E156" s="13" t="n"/>
      <c r="F156" s="13" t="n"/>
    </row>
    <row r="157">
      <c r="E157" s="13" t="n"/>
      <c r="F157" s="13" t="n"/>
    </row>
    <row r="158">
      <c r="E158" s="13" t="n"/>
      <c r="F158" s="13" t="n"/>
    </row>
    <row r="159">
      <c r="E159" s="13" t="n"/>
      <c r="F159" s="13" t="n"/>
    </row>
    <row r="160">
      <c r="E160" s="13" t="n"/>
      <c r="F160" s="13" t="n"/>
    </row>
    <row r="161">
      <c r="E161" s="13" t="n"/>
      <c r="F161" s="13" t="n"/>
    </row>
    <row r="162">
      <c r="E162" s="13" t="n"/>
      <c r="F162" s="13" t="n"/>
    </row>
    <row r="163">
      <c r="E163" s="13" t="n"/>
      <c r="F163" s="13" t="n"/>
    </row>
    <row r="164">
      <c r="E164" s="13" t="n"/>
      <c r="F164" s="13" t="n"/>
    </row>
    <row r="165">
      <c r="E165" s="13" t="n"/>
      <c r="F165" s="13" t="n"/>
    </row>
    <row r="166">
      <c r="E166" s="13" t="n"/>
      <c r="F166" s="13" t="n"/>
    </row>
    <row r="167">
      <c r="E167" s="13" t="n"/>
      <c r="F167" s="13" t="n"/>
    </row>
    <row r="168">
      <c r="E168" s="13" t="n"/>
      <c r="F168" s="13" t="n"/>
    </row>
    <row r="169">
      <c r="E169" s="13" t="n"/>
      <c r="F169" s="13" t="n"/>
    </row>
    <row r="170">
      <c r="E170" s="13" t="n"/>
      <c r="F170" s="13" t="n"/>
    </row>
    <row r="171">
      <c r="E171" s="13" t="n"/>
      <c r="F171" s="13" t="n"/>
    </row>
    <row r="172">
      <c r="E172" s="13" t="n"/>
      <c r="F172" s="13" t="n"/>
    </row>
    <row r="173">
      <c r="E173" s="13" t="n"/>
      <c r="F173" s="13" t="n"/>
    </row>
    <row r="174">
      <c r="E174" s="13" t="n"/>
      <c r="F174" s="13" t="n"/>
    </row>
    <row r="175">
      <c r="E175" s="13" t="n"/>
      <c r="F175" s="13" t="n"/>
    </row>
    <row r="176">
      <c r="E176" s="13" t="n"/>
      <c r="F176" s="13" t="n"/>
    </row>
    <row r="177">
      <c r="E177" s="13" t="n"/>
      <c r="F177" s="13" t="n"/>
    </row>
    <row r="178">
      <c r="E178" s="13" t="n"/>
      <c r="F178" s="13" t="n"/>
    </row>
    <row r="179">
      <c r="E179" s="13" t="n"/>
      <c r="F179" s="13" t="n"/>
    </row>
    <row r="180">
      <c r="E180" s="13" t="n"/>
      <c r="F180" s="13" t="n"/>
    </row>
    <row r="181">
      <c r="E181" s="13" t="n"/>
      <c r="F181" s="13" t="n"/>
    </row>
    <row r="182">
      <c r="E182" s="13" t="n"/>
      <c r="F182" s="13" t="n"/>
    </row>
    <row r="183">
      <c r="E183" s="13" t="n"/>
      <c r="F183" s="13" t="n"/>
    </row>
    <row r="184">
      <c r="E184" s="13" t="n"/>
      <c r="F184" s="13" t="n"/>
    </row>
    <row r="185">
      <c r="E185" s="13" t="n"/>
      <c r="F185" s="13" t="n"/>
    </row>
    <row r="186">
      <c r="E186" s="13" t="n"/>
      <c r="F186" s="13" t="n"/>
    </row>
    <row r="187">
      <c r="E187" s="13" t="n"/>
      <c r="F187" s="13" t="n"/>
    </row>
    <row r="188">
      <c r="E188" s="13" t="n"/>
      <c r="F188" s="13" t="n"/>
    </row>
    <row r="189">
      <c r="E189" s="13" t="n"/>
      <c r="F189" s="13" t="n"/>
    </row>
    <row r="190">
      <c r="E190" s="13" t="n"/>
      <c r="F190" s="13" t="n"/>
    </row>
    <row r="191">
      <c r="E191" s="13" t="n"/>
      <c r="F191" s="13" t="n"/>
    </row>
    <row r="192">
      <c r="E192" s="13" t="n"/>
      <c r="F192" s="13" t="n"/>
    </row>
    <row r="193">
      <c r="E193" s="13" t="n"/>
      <c r="F193" s="13" t="n"/>
    </row>
    <row r="194">
      <c r="E194" s="13" t="n"/>
      <c r="F194" s="13" t="n"/>
    </row>
    <row r="195">
      <c r="E195" s="13" t="n"/>
      <c r="F195" s="13" t="n"/>
    </row>
    <row r="196">
      <c r="E196" s="13" t="n"/>
      <c r="F196" s="13" t="n"/>
    </row>
    <row r="197">
      <c r="E197" s="13" t="n"/>
      <c r="F197" s="13" t="n"/>
    </row>
    <row r="198">
      <c r="E198" s="13" t="n"/>
      <c r="F198" s="13" t="n"/>
    </row>
    <row r="199">
      <c r="E199" s="13" t="n"/>
      <c r="F199" s="13" t="n"/>
    </row>
    <row r="200">
      <c r="E200" s="13" t="n"/>
      <c r="F200" s="13" t="n"/>
    </row>
  </sheetData>
  <autoFilter ref="A1:I45"/>
  <mergeCells count="11">
    <mergeCell ref="B31:B33"/>
    <mergeCell ref="B40:B45"/>
    <mergeCell ref="A2:A30"/>
    <mergeCell ref="B13:B18"/>
    <mergeCell ref="A47:I47"/>
    <mergeCell ref="B7:B12"/>
    <mergeCell ref="B25:B30"/>
    <mergeCell ref="B34:B39"/>
    <mergeCell ref="B19:B24"/>
    <mergeCell ref="A31:A45"/>
    <mergeCell ref="B2:B6"/>
  </mergeCells>
  <conditionalFormatting sqref="F2:F200">
    <cfRule type="expression" priority="1" dxfId="0">
      <formula>AND(ISNUMBER(F2),ISNUMBER(E2),F2&gt;E2)</formula>
    </cfRule>
    <cfRule type="expression" priority="3" dxfId="1">
      <formula>AND(ISNUMBER(F2),ISNUMBER(E2),F2&lt;=E2)</formula>
    </cfRule>
  </conditionalFormatting>
  <conditionalFormatting sqref="E2:E45">
    <cfRule type="expression" priority="2" dxfId="2">
      <formula>ISNUMBER(E2)</formula>
    </cfRule>
  </conditionalFormatting>
  <conditionalFormatting sqref="I2:I45">
    <cfRule type="expression" priority="4" dxfId="0">
      <formula>AND(ISNUMBER(I2),I2&gt;0)</formula>
    </cfRule>
    <cfRule type="expression" priority="5" dxfId="1">
      <formula>AND(ISNUMBER(I2),I2&lt;0)</formula>
    </cfRule>
  </conditionalFormatting>
  <dataValidations count="1">
    <dataValidation sqref="E2:F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BO92"/>
  <sheetViews>
    <sheetView showGridLines="1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4" customWidth="1" min="4" max="4"/>
    <col width="14" customWidth="1" min="5" max="5"/>
    <col width="1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</cols>
  <sheetData>
    <row r="1" ht="28" customHeight="1">
      <c r="A1" s="15" t="inlineStr">
        <is>
          <t>PAB 甘特图（2026-08-24 → 2026-10-23，每格 1 天）。色条格子显示该日日期，并从首日铺底纹到完成日。请在「时间节点计划表」填写日期。</t>
        </is>
      </c>
      <c r="G1" s="16" t="inlineStr">
        <is>
          <t>2026年8月</t>
        </is>
      </c>
      <c r="H1" s="17" t="n"/>
      <c r="I1" s="17" t="n"/>
      <c r="J1" s="17" t="n"/>
      <c r="K1" s="17" t="n"/>
      <c r="L1" s="17" t="n"/>
      <c r="M1" s="17" t="n"/>
      <c r="N1" s="17" t="n"/>
      <c r="O1" s="16" t="inlineStr">
        <is>
          <t>2026年9月</t>
        </is>
      </c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  <c r="AB1" s="17" t="n"/>
      <c r="AC1" s="17" t="n"/>
      <c r="AD1" s="17" t="n"/>
      <c r="AE1" s="17" t="n"/>
      <c r="AF1" s="17" t="n"/>
      <c r="AG1" s="17" t="n"/>
      <c r="AH1" s="17" t="n"/>
      <c r="AI1" s="17" t="n"/>
      <c r="AJ1" s="17" t="n"/>
      <c r="AK1" s="17" t="n"/>
      <c r="AL1" s="17" t="n"/>
      <c r="AM1" s="17" t="n"/>
      <c r="AN1" s="17" t="n"/>
      <c r="AO1" s="17" t="n"/>
      <c r="AP1" s="17" t="n"/>
      <c r="AQ1" s="17" t="n"/>
      <c r="AR1" s="17" t="n"/>
      <c r="AS1" s="16" t="inlineStr">
        <is>
          <t>2026年10月</t>
        </is>
      </c>
      <c r="AT1" s="17" t="n"/>
      <c r="AU1" s="17" t="n"/>
      <c r="AV1" s="17" t="n"/>
      <c r="AW1" s="17" t="n"/>
      <c r="AX1" s="17" t="n"/>
      <c r="AY1" s="17" t="n"/>
      <c r="AZ1" s="17" t="n"/>
      <c r="BA1" s="17" t="n"/>
      <c r="BB1" s="17" t="n"/>
      <c r="BC1" s="17" t="n"/>
      <c r="BD1" s="17" t="n"/>
      <c r="BE1" s="17" t="n"/>
      <c r="BF1" s="17" t="n"/>
      <c r="BG1" s="17" t="n"/>
      <c r="BH1" s="17" t="n"/>
      <c r="BI1" s="17" t="n"/>
      <c r="BJ1" s="17" t="n"/>
      <c r="BK1" s="17" t="n"/>
      <c r="BL1" s="17" t="n"/>
      <c r="BM1" s="17" t="n"/>
      <c r="BN1" s="17" t="n"/>
      <c r="BO1" s="17" t="n"/>
    </row>
    <row r="2" ht="18" customHeight="1">
      <c r="A2" s="18" t="inlineStr">
        <is>
          <t>类型</t>
        </is>
      </c>
      <c r="B2" s="18" t="inlineStr">
        <is>
          <t>阶段</t>
        </is>
      </c>
      <c r="C2" s="18" t="inlineStr">
        <is>
          <t>任务</t>
        </is>
      </c>
      <c r="D2" s="18" t="inlineStr">
        <is>
          <t>预估完成</t>
        </is>
      </c>
      <c r="E2" s="18" t="inlineStr">
        <is>
          <t>实际完成</t>
        </is>
      </c>
      <c r="F2" s="18" t="inlineStr">
        <is>
          <t>偏移</t>
        </is>
      </c>
      <c r="G2" s="19" t="n">
        <v>46258</v>
      </c>
      <c r="H2" s="19" t="n">
        <v>46259</v>
      </c>
      <c r="I2" s="19" t="n">
        <v>46260</v>
      </c>
      <c r="J2" s="19" t="n">
        <v>46261</v>
      </c>
      <c r="K2" s="19" t="n">
        <v>46262</v>
      </c>
      <c r="L2" s="20" t="n">
        <v>46263</v>
      </c>
      <c r="M2" s="20" t="n">
        <v>46264</v>
      </c>
      <c r="N2" s="19" t="n">
        <v>46265</v>
      </c>
      <c r="O2" s="19" t="n">
        <v>46266</v>
      </c>
      <c r="P2" s="19" t="n">
        <v>46267</v>
      </c>
      <c r="Q2" s="19" t="n">
        <v>46268</v>
      </c>
      <c r="R2" s="19" t="n">
        <v>46269</v>
      </c>
      <c r="S2" s="20" t="n">
        <v>46270</v>
      </c>
      <c r="T2" s="20" t="n">
        <v>46271</v>
      </c>
      <c r="U2" s="19" t="n">
        <v>46272</v>
      </c>
      <c r="V2" s="19" t="n">
        <v>46273</v>
      </c>
      <c r="W2" s="19" t="n">
        <v>46274</v>
      </c>
      <c r="X2" s="19" t="n">
        <v>46275</v>
      </c>
      <c r="Y2" s="19" t="n">
        <v>46276</v>
      </c>
      <c r="Z2" s="20" t="n">
        <v>46277</v>
      </c>
      <c r="AA2" s="20" t="n">
        <v>46278</v>
      </c>
      <c r="AB2" s="19" t="n">
        <v>46279</v>
      </c>
      <c r="AC2" s="19" t="n">
        <v>46280</v>
      </c>
      <c r="AD2" s="19" t="n">
        <v>46281</v>
      </c>
      <c r="AE2" s="19" t="n">
        <v>46282</v>
      </c>
      <c r="AF2" s="19" t="n">
        <v>46283</v>
      </c>
      <c r="AG2" s="20" t="n">
        <v>46284</v>
      </c>
      <c r="AH2" s="20" t="n">
        <v>46285</v>
      </c>
      <c r="AI2" s="19" t="n">
        <v>46286</v>
      </c>
      <c r="AJ2" s="19" t="n">
        <v>46287</v>
      </c>
      <c r="AK2" s="19" t="n">
        <v>46288</v>
      </c>
      <c r="AL2" s="19" t="n">
        <v>46289</v>
      </c>
      <c r="AM2" s="19" t="n">
        <v>46290</v>
      </c>
      <c r="AN2" s="20" t="n">
        <v>46291</v>
      </c>
      <c r="AO2" s="20" t="n">
        <v>46292</v>
      </c>
      <c r="AP2" s="19" t="n">
        <v>46293</v>
      </c>
      <c r="AQ2" s="19" t="n">
        <v>46294</v>
      </c>
      <c r="AR2" s="19" t="n">
        <v>46295</v>
      </c>
      <c r="AS2" s="19" t="n">
        <v>46296</v>
      </c>
      <c r="AT2" s="19" t="n">
        <v>46297</v>
      </c>
      <c r="AU2" s="20" t="n">
        <v>46298</v>
      </c>
      <c r="AV2" s="20" t="n">
        <v>46299</v>
      </c>
      <c r="AW2" s="19" t="n">
        <v>46300</v>
      </c>
      <c r="AX2" s="19" t="n">
        <v>46301</v>
      </c>
      <c r="AY2" s="19" t="n">
        <v>46302</v>
      </c>
      <c r="AZ2" s="19" t="n">
        <v>46303</v>
      </c>
      <c r="BA2" s="19" t="n">
        <v>46304</v>
      </c>
      <c r="BB2" s="20" t="n">
        <v>46305</v>
      </c>
      <c r="BC2" s="20" t="n">
        <v>46306</v>
      </c>
      <c r="BD2" s="19" t="n">
        <v>46307</v>
      </c>
      <c r="BE2" s="19" t="n">
        <v>46308</v>
      </c>
      <c r="BF2" s="19" t="n">
        <v>46309</v>
      </c>
      <c r="BG2" s="19" t="n">
        <v>46310</v>
      </c>
      <c r="BH2" s="19" t="n">
        <v>46311</v>
      </c>
      <c r="BI2" s="20" t="n">
        <v>46312</v>
      </c>
      <c r="BJ2" s="20" t="n">
        <v>46313</v>
      </c>
      <c r="BK2" s="19" t="n">
        <v>46314</v>
      </c>
      <c r="BL2" s="19" t="n">
        <v>46315</v>
      </c>
      <c r="BM2" s="19" t="n">
        <v>46316</v>
      </c>
      <c r="BN2" s="19" t="n">
        <v>46317</v>
      </c>
      <c r="BO2" s="19" t="n">
        <v>46318</v>
      </c>
    </row>
    <row r="3" ht="20" customHeight="1">
      <c r="A3" s="21" t="inlineStr">
        <is>
          <t>预估</t>
        </is>
      </c>
      <c r="B3" s="21" t="inlineStr">
        <is>
          <t>第一期</t>
        </is>
      </c>
      <c r="C3" s="22" t="inlineStr">
        <is>
          <t>一期零件图纸整理归档</t>
        </is>
      </c>
      <c r="D3" s="23">
        <f>'时间节点计划表'!E2</f>
        <v/>
      </c>
      <c r="E3" s="23">
        <f>IF(COUNT('时间节点计划表'!F2),'时间节点计划表'!F2,"")</f>
        <v/>
      </c>
      <c r="F3" s="24" t="inlineStr"/>
      <c r="G3" s="25">
        <f>IF(AND(ISNUMBER($D3),N(G$2)&gt;=N($G$2),N(G$2)&lt;=N($D3)),G$2,"")</f>
        <v/>
      </c>
      <c r="H3" s="25">
        <f>IF(AND(ISNUMBER($D3),N(H$2)&gt;=N($G$2),N(H$2)&lt;=N($D3)),H$2,"")</f>
        <v/>
      </c>
      <c r="I3" s="25">
        <f>IF(AND(ISNUMBER($D3),N(I$2)&gt;=N($G$2),N(I$2)&lt;=N($D3)),I$2,"")</f>
        <v/>
      </c>
      <c r="J3" s="25">
        <f>IF(AND(ISNUMBER($D3),N(J$2)&gt;=N($G$2),N(J$2)&lt;=N($D3)),J$2,"")</f>
        <v/>
      </c>
      <c r="K3" s="25">
        <f>IF(AND(ISNUMBER($D3),N(K$2)&gt;=N($G$2),N(K$2)&lt;=N($D3)),K$2,"")</f>
        <v/>
      </c>
      <c r="L3" s="25">
        <f>IF(AND(ISNUMBER($D3),N(L$2)&gt;=N($G$2),N(L$2)&lt;=N($D3)),L$2,"")</f>
        <v/>
      </c>
      <c r="M3" s="25">
        <f>IF(AND(ISNUMBER($D3),N(M$2)&gt;=N($G$2),N(M$2)&lt;=N($D3)),M$2,"")</f>
        <v/>
      </c>
      <c r="N3" s="25">
        <f>IF(AND(ISNUMBER($D3),N(N$2)&gt;=N($G$2),N(N$2)&lt;=N($D3)),N$2,"")</f>
        <v/>
      </c>
      <c r="O3" s="25">
        <f>IF(AND(ISNUMBER($D3),N(O$2)&gt;=N($G$2),N(O$2)&lt;=N($D3)),O$2,"")</f>
        <v/>
      </c>
      <c r="P3" s="25">
        <f>IF(AND(ISNUMBER($D3),N(P$2)&gt;=N($G$2),N(P$2)&lt;=N($D3)),P$2,"")</f>
        <v/>
      </c>
      <c r="Q3" s="25">
        <f>IF(AND(ISNUMBER($D3),N(Q$2)&gt;=N($G$2),N(Q$2)&lt;=N($D3)),Q$2,"")</f>
        <v/>
      </c>
      <c r="R3" s="25">
        <f>IF(AND(ISNUMBER($D3),N(R$2)&gt;=N($G$2),N(R$2)&lt;=N($D3)),R$2,"")</f>
        <v/>
      </c>
      <c r="S3" s="25">
        <f>IF(AND(ISNUMBER($D3),N(S$2)&gt;=N($G$2),N(S$2)&lt;=N($D3)),S$2,"")</f>
        <v/>
      </c>
      <c r="T3" s="25">
        <f>IF(AND(ISNUMBER($D3),N(T$2)&gt;=N($G$2),N(T$2)&lt;=N($D3)),T$2,"")</f>
        <v/>
      </c>
      <c r="U3" s="25">
        <f>IF(AND(ISNUMBER($D3),N(U$2)&gt;=N($G$2),N(U$2)&lt;=N($D3)),U$2,"")</f>
        <v/>
      </c>
      <c r="V3" s="25">
        <f>IF(AND(ISNUMBER($D3),N(V$2)&gt;=N($G$2),N(V$2)&lt;=N($D3)),V$2,"")</f>
        <v/>
      </c>
      <c r="W3" s="25">
        <f>IF(AND(ISNUMBER($D3),N(W$2)&gt;=N($G$2),N(W$2)&lt;=N($D3)),W$2,"")</f>
        <v/>
      </c>
      <c r="X3" s="25">
        <f>IF(AND(ISNUMBER($D3),N(X$2)&gt;=N($G$2),N(X$2)&lt;=N($D3)),X$2,"")</f>
        <v/>
      </c>
      <c r="Y3" s="25">
        <f>IF(AND(ISNUMBER($D3),N(Y$2)&gt;=N($G$2),N(Y$2)&lt;=N($D3)),Y$2,"")</f>
        <v/>
      </c>
      <c r="Z3" s="25">
        <f>IF(AND(ISNUMBER($D3),N(Z$2)&gt;=N($G$2),N(Z$2)&lt;=N($D3)),Z$2,"")</f>
        <v/>
      </c>
      <c r="AA3" s="25">
        <f>IF(AND(ISNUMBER($D3),N(AA$2)&gt;=N($G$2),N(AA$2)&lt;=N($D3)),AA$2,"")</f>
        <v/>
      </c>
      <c r="AB3" s="25">
        <f>IF(AND(ISNUMBER($D3),N(AB$2)&gt;=N($G$2),N(AB$2)&lt;=N($D3)),AB$2,"")</f>
        <v/>
      </c>
      <c r="AC3" s="25">
        <f>IF(AND(ISNUMBER($D3),N(AC$2)&gt;=N($G$2),N(AC$2)&lt;=N($D3)),AC$2,"")</f>
        <v/>
      </c>
      <c r="AD3" s="25">
        <f>IF(AND(ISNUMBER($D3),N(AD$2)&gt;=N($G$2),N(AD$2)&lt;=N($D3)),AD$2,"")</f>
        <v/>
      </c>
      <c r="AE3" s="25">
        <f>IF(AND(ISNUMBER($D3),N(AE$2)&gt;=N($G$2),N(AE$2)&lt;=N($D3)),AE$2,"")</f>
        <v/>
      </c>
      <c r="AF3" s="25">
        <f>IF(AND(ISNUMBER($D3),N(AF$2)&gt;=N($G$2),N(AF$2)&lt;=N($D3)),AF$2,"")</f>
        <v/>
      </c>
      <c r="AG3" s="25">
        <f>IF(AND(ISNUMBER($D3),N(AG$2)&gt;=N($G$2),N(AG$2)&lt;=N($D3)),AG$2,"")</f>
        <v/>
      </c>
      <c r="AH3" s="25">
        <f>IF(AND(ISNUMBER($D3),N(AH$2)&gt;=N($G$2),N(AH$2)&lt;=N($D3)),AH$2,"")</f>
        <v/>
      </c>
      <c r="AI3" s="25">
        <f>IF(AND(ISNUMBER($D3),N(AI$2)&gt;=N($G$2),N(AI$2)&lt;=N($D3)),AI$2,"")</f>
        <v/>
      </c>
      <c r="AJ3" s="25">
        <f>IF(AND(ISNUMBER($D3),N(AJ$2)&gt;=N($G$2),N(AJ$2)&lt;=N($D3)),AJ$2,"")</f>
        <v/>
      </c>
      <c r="AK3" s="25">
        <f>IF(AND(ISNUMBER($D3),N(AK$2)&gt;=N($G$2),N(AK$2)&lt;=N($D3)),AK$2,"")</f>
        <v/>
      </c>
      <c r="AL3" s="25">
        <f>IF(AND(ISNUMBER($D3),N(AL$2)&gt;=N($G$2),N(AL$2)&lt;=N($D3)),AL$2,"")</f>
        <v/>
      </c>
      <c r="AM3" s="25">
        <f>IF(AND(ISNUMBER($D3),N(AM$2)&gt;=N($G$2),N(AM$2)&lt;=N($D3)),AM$2,"")</f>
        <v/>
      </c>
      <c r="AN3" s="25">
        <f>IF(AND(ISNUMBER($D3),N(AN$2)&gt;=N($G$2),N(AN$2)&lt;=N($D3)),AN$2,"")</f>
        <v/>
      </c>
      <c r="AO3" s="25">
        <f>IF(AND(ISNUMBER($D3),N(AO$2)&gt;=N($G$2),N(AO$2)&lt;=N($D3)),AO$2,"")</f>
        <v/>
      </c>
      <c r="AP3" s="25">
        <f>IF(AND(ISNUMBER($D3),N(AP$2)&gt;=N($G$2),N(AP$2)&lt;=N($D3)),AP$2,"")</f>
        <v/>
      </c>
      <c r="AQ3" s="25">
        <f>IF(AND(ISNUMBER($D3),N(AQ$2)&gt;=N($G$2),N(AQ$2)&lt;=N($D3)),AQ$2,"")</f>
        <v/>
      </c>
      <c r="AR3" s="25">
        <f>IF(AND(ISNUMBER($D3),N(AR$2)&gt;=N($G$2),N(AR$2)&lt;=N($D3)),AR$2,"")</f>
        <v/>
      </c>
      <c r="AS3" s="25">
        <f>IF(AND(ISNUMBER($D3),N(AS$2)&gt;=N($G$2),N(AS$2)&lt;=N($D3)),AS$2,"")</f>
        <v/>
      </c>
      <c r="AT3" s="25">
        <f>IF(AND(ISNUMBER($D3),N(AT$2)&gt;=N($G$2),N(AT$2)&lt;=N($D3)),AT$2,"")</f>
        <v/>
      </c>
      <c r="AU3" s="25">
        <f>IF(AND(ISNUMBER($D3),N(AU$2)&gt;=N($G$2),N(AU$2)&lt;=N($D3)),AU$2,"")</f>
        <v/>
      </c>
      <c r="AV3" s="25">
        <f>IF(AND(ISNUMBER($D3),N(AV$2)&gt;=N($G$2),N(AV$2)&lt;=N($D3)),AV$2,"")</f>
        <v/>
      </c>
      <c r="AW3" s="25">
        <f>IF(AND(ISNUMBER($D3),N(AW$2)&gt;=N($G$2),N(AW$2)&lt;=N($D3)),AW$2,"")</f>
        <v/>
      </c>
      <c r="AX3" s="25">
        <f>IF(AND(ISNUMBER($D3),N(AX$2)&gt;=N($G$2),N(AX$2)&lt;=N($D3)),AX$2,"")</f>
        <v/>
      </c>
      <c r="AY3" s="25">
        <f>IF(AND(ISNUMBER($D3),N(AY$2)&gt;=N($G$2),N(AY$2)&lt;=N($D3)),AY$2,"")</f>
        <v/>
      </c>
      <c r="AZ3" s="25">
        <f>IF(AND(ISNUMBER($D3),N(AZ$2)&gt;=N($G$2),N(AZ$2)&lt;=N($D3)),AZ$2,"")</f>
        <v/>
      </c>
      <c r="BA3" s="25">
        <f>IF(AND(ISNUMBER($D3),N(BA$2)&gt;=N($G$2),N(BA$2)&lt;=N($D3)),BA$2,"")</f>
        <v/>
      </c>
      <c r="BB3" s="25">
        <f>IF(AND(ISNUMBER($D3),N(BB$2)&gt;=N($G$2),N(BB$2)&lt;=N($D3)),BB$2,"")</f>
        <v/>
      </c>
      <c r="BC3" s="25">
        <f>IF(AND(ISNUMBER($D3),N(BC$2)&gt;=N($G$2),N(BC$2)&lt;=N($D3)),BC$2,"")</f>
        <v/>
      </c>
      <c r="BD3" s="25">
        <f>IF(AND(ISNUMBER($D3),N(BD$2)&gt;=N($G$2),N(BD$2)&lt;=N($D3)),BD$2,"")</f>
        <v/>
      </c>
      <c r="BE3" s="25">
        <f>IF(AND(ISNUMBER($D3),N(BE$2)&gt;=N($G$2),N(BE$2)&lt;=N($D3)),BE$2,"")</f>
        <v/>
      </c>
      <c r="BF3" s="25">
        <f>IF(AND(ISNUMBER($D3),N(BF$2)&gt;=N($G$2),N(BF$2)&lt;=N($D3)),BF$2,"")</f>
        <v/>
      </c>
      <c r="BG3" s="25">
        <f>IF(AND(ISNUMBER($D3),N(BG$2)&gt;=N($G$2),N(BG$2)&lt;=N($D3)),BG$2,"")</f>
        <v/>
      </c>
      <c r="BH3" s="25">
        <f>IF(AND(ISNUMBER($D3),N(BH$2)&gt;=N($G$2),N(BH$2)&lt;=N($D3)),BH$2,"")</f>
        <v/>
      </c>
      <c r="BI3" s="25">
        <f>IF(AND(ISNUMBER($D3),N(BI$2)&gt;=N($G$2),N(BI$2)&lt;=N($D3)),BI$2,"")</f>
        <v/>
      </c>
      <c r="BJ3" s="25">
        <f>IF(AND(ISNUMBER($D3),N(BJ$2)&gt;=N($G$2),N(BJ$2)&lt;=N($D3)),BJ$2,"")</f>
        <v/>
      </c>
      <c r="BK3" s="25">
        <f>IF(AND(ISNUMBER($D3),N(BK$2)&gt;=N($G$2),N(BK$2)&lt;=N($D3)),BK$2,"")</f>
        <v/>
      </c>
      <c r="BL3" s="25">
        <f>IF(AND(ISNUMBER($D3),N(BL$2)&gt;=N($G$2),N(BL$2)&lt;=N($D3)),BL$2,"")</f>
        <v/>
      </c>
      <c r="BM3" s="25">
        <f>IF(AND(ISNUMBER($D3),N(BM$2)&gt;=N($G$2),N(BM$2)&lt;=N($D3)),BM$2,"")</f>
        <v/>
      </c>
      <c r="BN3" s="25">
        <f>IF(AND(ISNUMBER($D3),N(BN$2)&gt;=N($G$2),N(BN$2)&lt;=N($D3)),BN$2,"")</f>
        <v/>
      </c>
      <c r="BO3" s="25">
        <f>IF(AND(ISNUMBER($D3),N(BO$2)&gt;=N($G$2),N(BO$2)&lt;=N($D3)),BO$2,"")</f>
        <v/>
      </c>
    </row>
    <row r="4" ht="20" customHeight="1">
      <c r="A4" s="26" t="inlineStr">
        <is>
          <t>实际</t>
        </is>
      </c>
      <c r="B4" s="26" t="inlineStr">
        <is>
          <t>第一期</t>
        </is>
      </c>
      <c r="C4" s="27" t="inlineStr">
        <is>
          <t>一期零件图纸整理归档</t>
        </is>
      </c>
      <c r="D4" s="28">
        <f>'时间节点计划表'!E2</f>
        <v/>
      </c>
      <c r="E4" s="28">
        <f>IF(COUNT('时间节点计划表'!F2),'时间节点计划表'!F2,"")</f>
        <v/>
      </c>
      <c r="F4" s="29">
        <f>IF(OR(D4="",E4=""),"待填",E4-D4)</f>
        <v/>
      </c>
      <c r="G4" s="25">
        <f>IF(AND(ISNUMBER($E4),N(G$2)&gt;=N($G$2),N(G$2)&lt;=N($E4)),G$2,"")</f>
        <v/>
      </c>
      <c r="H4" s="25">
        <f>IF(AND(ISNUMBER($E4),N(H$2)&gt;=N($G$2),N(H$2)&lt;=N($E4)),H$2,"")</f>
        <v/>
      </c>
      <c r="I4" s="25">
        <f>IF(AND(ISNUMBER($E4),N(I$2)&gt;=N($G$2),N(I$2)&lt;=N($E4)),I$2,"")</f>
        <v/>
      </c>
      <c r="J4" s="25">
        <f>IF(AND(ISNUMBER($E4),N(J$2)&gt;=N($G$2),N(J$2)&lt;=N($E4)),J$2,"")</f>
        <v/>
      </c>
      <c r="K4" s="25">
        <f>IF(AND(ISNUMBER($E4),N(K$2)&gt;=N($G$2),N(K$2)&lt;=N($E4)),K$2,"")</f>
        <v/>
      </c>
      <c r="L4" s="25">
        <f>IF(AND(ISNUMBER($E4),N(L$2)&gt;=N($G$2),N(L$2)&lt;=N($E4)),L$2,"")</f>
        <v/>
      </c>
      <c r="M4" s="25">
        <f>IF(AND(ISNUMBER($E4),N(M$2)&gt;=N($G$2),N(M$2)&lt;=N($E4)),M$2,"")</f>
        <v/>
      </c>
      <c r="N4" s="25">
        <f>IF(AND(ISNUMBER($E4),N(N$2)&gt;=N($G$2),N(N$2)&lt;=N($E4)),N$2,"")</f>
        <v/>
      </c>
      <c r="O4" s="25">
        <f>IF(AND(ISNUMBER($E4),N(O$2)&gt;=N($G$2),N(O$2)&lt;=N($E4)),O$2,"")</f>
        <v/>
      </c>
      <c r="P4" s="25">
        <f>IF(AND(ISNUMBER($E4),N(P$2)&gt;=N($G$2),N(P$2)&lt;=N($E4)),P$2,"")</f>
        <v/>
      </c>
      <c r="Q4" s="25">
        <f>IF(AND(ISNUMBER($E4),N(Q$2)&gt;=N($G$2),N(Q$2)&lt;=N($E4)),Q$2,"")</f>
        <v/>
      </c>
      <c r="R4" s="25">
        <f>IF(AND(ISNUMBER($E4),N(R$2)&gt;=N($G$2),N(R$2)&lt;=N($E4)),R$2,"")</f>
        <v/>
      </c>
      <c r="S4" s="25">
        <f>IF(AND(ISNUMBER($E4),N(S$2)&gt;=N($G$2),N(S$2)&lt;=N($E4)),S$2,"")</f>
        <v/>
      </c>
      <c r="T4" s="25">
        <f>IF(AND(ISNUMBER($E4),N(T$2)&gt;=N($G$2),N(T$2)&lt;=N($E4)),T$2,"")</f>
        <v/>
      </c>
      <c r="U4" s="25">
        <f>IF(AND(ISNUMBER($E4),N(U$2)&gt;=N($G$2),N(U$2)&lt;=N($E4)),U$2,"")</f>
        <v/>
      </c>
      <c r="V4" s="25">
        <f>IF(AND(ISNUMBER($E4),N(V$2)&gt;=N($G$2),N(V$2)&lt;=N($E4)),V$2,"")</f>
        <v/>
      </c>
      <c r="W4" s="25">
        <f>IF(AND(ISNUMBER($E4),N(W$2)&gt;=N($G$2),N(W$2)&lt;=N($E4)),W$2,"")</f>
        <v/>
      </c>
      <c r="X4" s="25">
        <f>IF(AND(ISNUMBER($E4),N(X$2)&gt;=N($G$2),N(X$2)&lt;=N($E4)),X$2,"")</f>
        <v/>
      </c>
      <c r="Y4" s="25">
        <f>IF(AND(ISNUMBER($E4),N(Y$2)&gt;=N($G$2),N(Y$2)&lt;=N($E4)),Y$2,"")</f>
        <v/>
      </c>
      <c r="Z4" s="25">
        <f>IF(AND(ISNUMBER($E4),N(Z$2)&gt;=N($G$2),N(Z$2)&lt;=N($E4)),Z$2,"")</f>
        <v/>
      </c>
      <c r="AA4" s="25">
        <f>IF(AND(ISNUMBER($E4),N(AA$2)&gt;=N($G$2),N(AA$2)&lt;=N($E4)),AA$2,"")</f>
        <v/>
      </c>
      <c r="AB4" s="25">
        <f>IF(AND(ISNUMBER($E4),N(AB$2)&gt;=N($G$2),N(AB$2)&lt;=N($E4)),AB$2,"")</f>
        <v/>
      </c>
      <c r="AC4" s="25">
        <f>IF(AND(ISNUMBER($E4),N(AC$2)&gt;=N($G$2),N(AC$2)&lt;=N($E4)),AC$2,"")</f>
        <v/>
      </c>
      <c r="AD4" s="25">
        <f>IF(AND(ISNUMBER($E4),N(AD$2)&gt;=N($G$2),N(AD$2)&lt;=N($E4)),AD$2,"")</f>
        <v/>
      </c>
      <c r="AE4" s="25">
        <f>IF(AND(ISNUMBER($E4),N(AE$2)&gt;=N($G$2),N(AE$2)&lt;=N($E4)),AE$2,"")</f>
        <v/>
      </c>
      <c r="AF4" s="25">
        <f>IF(AND(ISNUMBER($E4),N(AF$2)&gt;=N($G$2),N(AF$2)&lt;=N($E4)),AF$2,"")</f>
        <v/>
      </c>
      <c r="AG4" s="25">
        <f>IF(AND(ISNUMBER($E4),N(AG$2)&gt;=N($G$2),N(AG$2)&lt;=N($E4)),AG$2,"")</f>
        <v/>
      </c>
      <c r="AH4" s="25">
        <f>IF(AND(ISNUMBER($E4),N(AH$2)&gt;=N($G$2),N(AH$2)&lt;=N($E4)),AH$2,"")</f>
        <v/>
      </c>
      <c r="AI4" s="25">
        <f>IF(AND(ISNUMBER($E4),N(AI$2)&gt;=N($G$2),N(AI$2)&lt;=N($E4)),AI$2,"")</f>
        <v/>
      </c>
      <c r="AJ4" s="25">
        <f>IF(AND(ISNUMBER($E4),N(AJ$2)&gt;=N($G$2),N(AJ$2)&lt;=N($E4)),AJ$2,"")</f>
        <v/>
      </c>
      <c r="AK4" s="25">
        <f>IF(AND(ISNUMBER($E4),N(AK$2)&gt;=N($G$2),N(AK$2)&lt;=N($E4)),AK$2,"")</f>
        <v/>
      </c>
      <c r="AL4" s="25">
        <f>IF(AND(ISNUMBER($E4),N(AL$2)&gt;=N($G$2),N(AL$2)&lt;=N($E4)),AL$2,"")</f>
        <v/>
      </c>
      <c r="AM4" s="25">
        <f>IF(AND(ISNUMBER($E4),N(AM$2)&gt;=N($G$2),N(AM$2)&lt;=N($E4)),AM$2,"")</f>
        <v/>
      </c>
      <c r="AN4" s="25">
        <f>IF(AND(ISNUMBER($E4),N(AN$2)&gt;=N($G$2),N(AN$2)&lt;=N($E4)),AN$2,"")</f>
        <v/>
      </c>
      <c r="AO4" s="25">
        <f>IF(AND(ISNUMBER($E4),N(AO$2)&gt;=N($G$2),N(AO$2)&lt;=N($E4)),AO$2,"")</f>
        <v/>
      </c>
      <c r="AP4" s="25">
        <f>IF(AND(ISNUMBER($E4),N(AP$2)&gt;=N($G$2),N(AP$2)&lt;=N($E4)),AP$2,"")</f>
        <v/>
      </c>
      <c r="AQ4" s="25">
        <f>IF(AND(ISNUMBER($E4),N(AQ$2)&gt;=N($G$2),N(AQ$2)&lt;=N($E4)),AQ$2,"")</f>
        <v/>
      </c>
      <c r="AR4" s="25">
        <f>IF(AND(ISNUMBER($E4),N(AR$2)&gt;=N($G$2),N(AR$2)&lt;=N($E4)),AR$2,"")</f>
        <v/>
      </c>
      <c r="AS4" s="25">
        <f>IF(AND(ISNUMBER($E4),N(AS$2)&gt;=N($G$2),N(AS$2)&lt;=N($E4)),AS$2,"")</f>
        <v/>
      </c>
      <c r="AT4" s="25">
        <f>IF(AND(ISNUMBER($E4),N(AT$2)&gt;=N($G$2),N(AT$2)&lt;=N($E4)),AT$2,"")</f>
        <v/>
      </c>
      <c r="AU4" s="25">
        <f>IF(AND(ISNUMBER($E4),N(AU$2)&gt;=N($G$2),N(AU$2)&lt;=N($E4)),AU$2,"")</f>
        <v/>
      </c>
      <c r="AV4" s="25">
        <f>IF(AND(ISNUMBER($E4),N(AV$2)&gt;=N($G$2),N(AV$2)&lt;=N($E4)),AV$2,"")</f>
        <v/>
      </c>
      <c r="AW4" s="25">
        <f>IF(AND(ISNUMBER($E4),N(AW$2)&gt;=N($G$2),N(AW$2)&lt;=N($E4)),AW$2,"")</f>
        <v/>
      </c>
      <c r="AX4" s="25">
        <f>IF(AND(ISNUMBER($E4),N(AX$2)&gt;=N($G$2),N(AX$2)&lt;=N($E4)),AX$2,"")</f>
        <v/>
      </c>
      <c r="AY4" s="25">
        <f>IF(AND(ISNUMBER($E4),N(AY$2)&gt;=N($G$2),N(AY$2)&lt;=N($E4)),AY$2,"")</f>
        <v/>
      </c>
      <c r="AZ4" s="25">
        <f>IF(AND(ISNUMBER($E4),N(AZ$2)&gt;=N($G$2),N(AZ$2)&lt;=N($E4)),AZ$2,"")</f>
        <v/>
      </c>
      <c r="BA4" s="25">
        <f>IF(AND(ISNUMBER($E4),N(BA$2)&gt;=N($G$2),N(BA$2)&lt;=N($E4)),BA$2,"")</f>
        <v/>
      </c>
      <c r="BB4" s="25">
        <f>IF(AND(ISNUMBER($E4),N(BB$2)&gt;=N($G$2),N(BB$2)&lt;=N($E4)),BB$2,"")</f>
        <v/>
      </c>
      <c r="BC4" s="25">
        <f>IF(AND(ISNUMBER($E4),N(BC$2)&gt;=N($G$2),N(BC$2)&lt;=N($E4)),BC$2,"")</f>
        <v/>
      </c>
      <c r="BD4" s="25">
        <f>IF(AND(ISNUMBER($E4),N(BD$2)&gt;=N($G$2),N(BD$2)&lt;=N($E4)),BD$2,"")</f>
        <v/>
      </c>
      <c r="BE4" s="25">
        <f>IF(AND(ISNUMBER($E4),N(BE$2)&gt;=N($G$2),N(BE$2)&lt;=N($E4)),BE$2,"")</f>
        <v/>
      </c>
      <c r="BF4" s="25">
        <f>IF(AND(ISNUMBER($E4),N(BF$2)&gt;=N($G$2),N(BF$2)&lt;=N($E4)),BF$2,"")</f>
        <v/>
      </c>
      <c r="BG4" s="25">
        <f>IF(AND(ISNUMBER($E4),N(BG$2)&gt;=N($G$2),N(BG$2)&lt;=N($E4)),BG$2,"")</f>
        <v/>
      </c>
      <c r="BH4" s="25">
        <f>IF(AND(ISNUMBER($E4),N(BH$2)&gt;=N($G$2),N(BH$2)&lt;=N($E4)),BH$2,"")</f>
        <v/>
      </c>
      <c r="BI4" s="25">
        <f>IF(AND(ISNUMBER($E4),N(BI$2)&gt;=N($G$2),N(BI$2)&lt;=N($E4)),BI$2,"")</f>
        <v/>
      </c>
      <c r="BJ4" s="25">
        <f>IF(AND(ISNUMBER($E4),N(BJ$2)&gt;=N($G$2),N(BJ$2)&lt;=N($E4)),BJ$2,"")</f>
        <v/>
      </c>
      <c r="BK4" s="25">
        <f>IF(AND(ISNUMBER($E4),N(BK$2)&gt;=N($G$2),N(BK$2)&lt;=N($E4)),BK$2,"")</f>
        <v/>
      </c>
      <c r="BL4" s="25">
        <f>IF(AND(ISNUMBER($E4),N(BL$2)&gt;=N($G$2),N(BL$2)&lt;=N($E4)),BL$2,"")</f>
        <v/>
      </c>
      <c r="BM4" s="25">
        <f>IF(AND(ISNUMBER($E4),N(BM$2)&gt;=N($G$2),N(BM$2)&lt;=N($E4)),BM$2,"")</f>
        <v/>
      </c>
      <c r="BN4" s="25">
        <f>IF(AND(ISNUMBER($E4),N(BN$2)&gt;=N($G$2),N(BN$2)&lt;=N($E4)),BN$2,"")</f>
        <v/>
      </c>
      <c r="BO4" s="25">
        <f>IF(AND(ISNUMBER($E4),N(BO$2)&gt;=N($G$2),N(BO$2)&lt;=N($E4)),BO$2,"")</f>
        <v/>
      </c>
    </row>
    <row r="5" ht="20" customHeight="1">
      <c r="A5" s="21" t="inlineStr">
        <is>
          <t>预估</t>
        </is>
      </c>
      <c r="B5" s="21" t="inlineStr">
        <is>
          <t>第一期</t>
        </is>
      </c>
      <c r="C5" s="22" t="inlineStr">
        <is>
          <t>一期零件下单采购</t>
        </is>
      </c>
      <c r="D5" s="23">
        <f>'时间节点计划表'!E3</f>
        <v/>
      </c>
      <c r="E5" s="23">
        <f>IF(COUNT('时间节点计划表'!F3),'时间节点计划表'!F3,"")</f>
        <v/>
      </c>
      <c r="F5" s="24" t="inlineStr"/>
      <c r="G5" s="25">
        <f>IF(AND(ISNUMBER($D5),N(G$2)&gt;=N($G$2),N(G$2)&lt;=N($D5)),G$2,"")</f>
        <v/>
      </c>
      <c r="H5" s="25">
        <f>IF(AND(ISNUMBER($D5),N(H$2)&gt;=N($G$2),N(H$2)&lt;=N($D5)),H$2,"")</f>
        <v/>
      </c>
      <c r="I5" s="25">
        <f>IF(AND(ISNUMBER($D5),N(I$2)&gt;=N($G$2),N(I$2)&lt;=N($D5)),I$2,"")</f>
        <v/>
      </c>
      <c r="J5" s="25">
        <f>IF(AND(ISNUMBER($D5),N(J$2)&gt;=N($G$2),N(J$2)&lt;=N($D5)),J$2,"")</f>
        <v/>
      </c>
      <c r="K5" s="25">
        <f>IF(AND(ISNUMBER($D5),N(K$2)&gt;=N($G$2),N(K$2)&lt;=N($D5)),K$2,"")</f>
        <v/>
      </c>
      <c r="L5" s="25">
        <f>IF(AND(ISNUMBER($D5),N(L$2)&gt;=N($G$2),N(L$2)&lt;=N($D5)),L$2,"")</f>
        <v/>
      </c>
      <c r="M5" s="25">
        <f>IF(AND(ISNUMBER($D5),N(M$2)&gt;=N($G$2),N(M$2)&lt;=N($D5)),M$2,"")</f>
        <v/>
      </c>
      <c r="N5" s="25">
        <f>IF(AND(ISNUMBER($D5),N(N$2)&gt;=N($G$2),N(N$2)&lt;=N($D5)),N$2,"")</f>
        <v/>
      </c>
      <c r="O5" s="25">
        <f>IF(AND(ISNUMBER($D5),N(O$2)&gt;=N($G$2),N(O$2)&lt;=N($D5)),O$2,"")</f>
        <v/>
      </c>
      <c r="P5" s="25">
        <f>IF(AND(ISNUMBER($D5),N(P$2)&gt;=N($G$2),N(P$2)&lt;=N($D5)),P$2,"")</f>
        <v/>
      </c>
      <c r="Q5" s="25">
        <f>IF(AND(ISNUMBER($D5),N(Q$2)&gt;=N($G$2),N(Q$2)&lt;=N($D5)),Q$2,"")</f>
        <v/>
      </c>
      <c r="R5" s="25">
        <f>IF(AND(ISNUMBER($D5),N(R$2)&gt;=N($G$2),N(R$2)&lt;=N($D5)),R$2,"")</f>
        <v/>
      </c>
      <c r="S5" s="25">
        <f>IF(AND(ISNUMBER($D5),N(S$2)&gt;=N($G$2),N(S$2)&lt;=N($D5)),S$2,"")</f>
        <v/>
      </c>
      <c r="T5" s="25">
        <f>IF(AND(ISNUMBER($D5),N(T$2)&gt;=N($G$2),N(T$2)&lt;=N($D5)),T$2,"")</f>
        <v/>
      </c>
      <c r="U5" s="25">
        <f>IF(AND(ISNUMBER($D5),N(U$2)&gt;=N($G$2),N(U$2)&lt;=N($D5)),U$2,"")</f>
        <v/>
      </c>
      <c r="V5" s="25">
        <f>IF(AND(ISNUMBER($D5),N(V$2)&gt;=N($G$2),N(V$2)&lt;=N($D5)),V$2,"")</f>
        <v/>
      </c>
      <c r="W5" s="25">
        <f>IF(AND(ISNUMBER($D5),N(W$2)&gt;=N($G$2),N(W$2)&lt;=N($D5)),W$2,"")</f>
        <v/>
      </c>
      <c r="X5" s="25">
        <f>IF(AND(ISNUMBER($D5),N(X$2)&gt;=N($G$2),N(X$2)&lt;=N($D5)),X$2,"")</f>
        <v/>
      </c>
      <c r="Y5" s="25">
        <f>IF(AND(ISNUMBER($D5),N(Y$2)&gt;=N($G$2),N(Y$2)&lt;=N($D5)),Y$2,"")</f>
        <v/>
      </c>
      <c r="Z5" s="25">
        <f>IF(AND(ISNUMBER($D5),N(Z$2)&gt;=N($G$2),N(Z$2)&lt;=N($D5)),Z$2,"")</f>
        <v/>
      </c>
      <c r="AA5" s="25">
        <f>IF(AND(ISNUMBER($D5),N(AA$2)&gt;=N($G$2),N(AA$2)&lt;=N($D5)),AA$2,"")</f>
        <v/>
      </c>
      <c r="AB5" s="25">
        <f>IF(AND(ISNUMBER($D5),N(AB$2)&gt;=N($G$2),N(AB$2)&lt;=N($D5)),AB$2,"")</f>
        <v/>
      </c>
      <c r="AC5" s="25">
        <f>IF(AND(ISNUMBER($D5),N(AC$2)&gt;=N($G$2),N(AC$2)&lt;=N($D5)),AC$2,"")</f>
        <v/>
      </c>
      <c r="AD5" s="25">
        <f>IF(AND(ISNUMBER($D5),N(AD$2)&gt;=N($G$2),N(AD$2)&lt;=N($D5)),AD$2,"")</f>
        <v/>
      </c>
      <c r="AE5" s="25">
        <f>IF(AND(ISNUMBER($D5),N(AE$2)&gt;=N($G$2),N(AE$2)&lt;=N($D5)),AE$2,"")</f>
        <v/>
      </c>
      <c r="AF5" s="25">
        <f>IF(AND(ISNUMBER($D5),N(AF$2)&gt;=N($G$2),N(AF$2)&lt;=N($D5)),AF$2,"")</f>
        <v/>
      </c>
      <c r="AG5" s="25">
        <f>IF(AND(ISNUMBER($D5),N(AG$2)&gt;=N($G$2),N(AG$2)&lt;=N($D5)),AG$2,"")</f>
        <v/>
      </c>
      <c r="AH5" s="25">
        <f>IF(AND(ISNUMBER($D5),N(AH$2)&gt;=N($G$2),N(AH$2)&lt;=N($D5)),AH$2,"")</f>
        <v/>
      </c>
      <c r="AI5" s="25">
        <f>IF(AND(ISNUMBER($D5),N(AI$2)&gt;=N($G$2),N(AI$2)&lt;=N($D5)),AI$2,"")</f>
        <v/>
      </c>
      <c r="AJ5" s="25">
        <f>IF(AND(ISNUMBER($D5),N(AJ$2)&gt;=N($G$2),N(AJ$2)&lt;=N($D5)),AJ$2,"")</f>
        <v/>
      </c>
      <c r="AK5" s="25">
        <f>IF(AND(ISNUMBER($D5),N(AK$2)&gt;=N($G$2),N(AK$2)&lt;=N($D5)),AK$2,"")</f>
        <v/>
      </c>
      <c r="AL5" s="25">
        <f>IF(AND(ISNUMBER($D5),N(AL$2)&gt;=N($G$2),N(AL$2)&lt;=N($D5)),AL$2,"")</f>
        <v/>
      </c>
      <c r="AM5" s="25">
        <f>IF(AND(ISNUMBER($D5),N(AM$2)&gt;=N($G$2),N(AM$2)&lt;=N($D5)),AM$2,"")</f>
        <v/>
      </c>
      <c r="AN5" s="25">
        <f>IF(AND(ISNUMBER($D5),N(AN$2)&gt;=N($G$2),N(AN$2)&lt;=N($D5)),AN$2,"")</f>
        <v/>
      </c>
      <c r="AO5" s="25">
        <f>IF(AND(ISNUMBER($D5),N(AO$2)&gt;=N($G$2),N(AO$2)&lt;=N($D5)),AO$2,"")</f>
        <v/>
      </c>
      <c r="AP5" s="25">
        <f>IF(AND(ISNUMBER($D5),N(AP$2)&gt;=N($G$2),N(AP$2)&lt;=N($D5)),AP$2,"")</f>
        <v/>
      </c>
      <c r="AQ5" s="25">
        <f>IF(AND(ISNUMBER($D5),N(AQ$2)&gt;=N($G$2),N(AQ$2)&lt;=N($D5)),AQ$2,"")</f>
        <v/>
      </c>
      <c r="AR5" s="25">
        <f>IF(AND(ISNUMBER($D5),N(AR$2)&gt;=N($G$2),N(AR$2)&lt;=N($D5)),AR$2,"")</f>
        <v/>
      </c>
      <c r="AS5" s="25">
        <f>IF(AND(ISNUMBER($D5),N(AS$2)&gt;=N($G$2),N(AS$2)&lt;=N($D5)),AS$2,"")</f>
        <v/>
      </c>
      <c r="AT5" s="25">
        <f>IF(AND(ISNUMBER($D5),N(AT$2)&gt;=N($G$2),N(AT$2)&lt;=N($D5)),AT$2,"")</f>
        <v/>
      </c>
      <c r="AU5" s="25">
        <f>IF(AND(ISNUMBER($D5),N(AU$2)&gt;=N($G$2),N(AU$2)&lt;=N($D5)),AU$2,"")</f>
        <v/>
      </c>
      <c r="AV5" s="25">
        <f>IF(AND(ISNUMBER($D5),N(AV$2)&gt;=N($G$2),N(AV$2)&lt;=N($D5)),AV$2,"")</f>
        <v/>
      </c>
      <c r="AW5" s="25">
        <f>IF(AND(ISNUMBER($D5),N(AW$2)&gt;=N($G$2),N(AW$2)&lt;=N($D5)),AW$2,"")</f>
        <v/>
      </c>
      <c r="AX5" s="25">
        <f>IF(AND(ISNUMBER($D5),N(AX$2)&gt;=N($G$2),N(AX$2)&lt;=N($D5)),AX$2,"")</f>
        <v/>
      </c>
      <c r="AY5" s="25">
        <f>IF(AND(ISNUMBER($D5),N(AY$2)&gt;=N($G$2),N(AY$2)&lt;=N($D5)),AY$2,"")</f>
        <v/>
      </c>
      <c r="AZ5" s="25">
        <f>IF(AND(ISNUMBER($D5),N(AZ$2)&gt;=N($G$2),N(AZ$2)&lt;=N($D5)),AZ$2,"")</f>
        <v/>
      </c>
      <c r="BA5" s="25">
        <f>IF(AND(ISNUMBER($D5),N(BA$2)&gt;=N($G$2),N(BA$2)&lt;=N($D5)),BA$2,"")</f>
        <v/>
      </c>
      <c r="BB5" s="25">
        <f>IF(AND(ISNUMBER($D5),N(BB$2)&gt;=N($G$2),N(BB$2)&lt;=N($D5)),BB$2,"")</f>
        <v/>
      </c>
      <c r="BC5" s="25">
        <f>IF(AND(ISNUMBER($D5),N(BC$2)&gt;=N($G$2),N(BC$2)&lt;=N($D5)),BC$2,"")</f>
        <v/>
      </c>
      <c r="BD5" s="25">
        <f>IF(AND(ISNUMBER($D5),N(BD$2)&gt;=N($G$2),N(BD$2)&lt;=N($D5)),BD$2,"")</f>
        <v/>
      </c>
      <c r="BE5" s="25">
        <f>IF(AND(ISNUMBER($D5),N(BE$2)&gt;=N($G$2),N(BE$2)&lt;=N($D5)),BE$2,"")</f>
        <v/>
      </c>
      <c r="BF5" s="25">
        <f>IF(AND(ISNUMBER($D5),N(BF$2)&gt;=N($G$2),N(BF$2)&lt;=N($D5)),BF$2,"")</f>
        <v/>
      </c>
      <c r="BG5" s="25">
        <f>IF(AND(ISNUMBER($D5),N(BG$2)&gt;=N($G$2),N(BG$2)&lt;=N($D5)),BG$2,"")</f>
        <v/>
      </c>
      <c r="BH5" s="25">
        <f>IF(AND(ISNUMBER($D5),N(BH$2)&gt;=N($G$2),N(BH$2)&lt;=N($D5)),BH$2,"")</f>
        <v/>
      </c>
      <c r="BI5" s="25">
        <f>IF(AND(ISNUMBER($D5),N(BI$2)&gt;=N($G$2),N(BI$2)&lt;=N($D5)),BI$2,"")</f>
        <v/>
      </c>
      <c r="BJ5" s="25">
        <f>IF(AND(ISNUMBER($D5),N(BJ$2)&gt;=N($G$2),N(BJ$2)&lt;=N($D5)),BJ$2,"")</f>
        <v/>
      </c>
      <c r="BK5" s="25">
        <f>IF(AND(ISNUMBER($D5),N(BK$2)&gt;=N($G$2),N(BK$2)&lt;=N($D5)),BK$2,"")</f>
        <v/>
      </c>
      <c r="BL5" s="25">
        <f>IF(AND(ISNUMBER($D5),N(BL$2)&gt;=N($G$2),N(BL$2)&lt;=N($D5)),BL$2,"")</f>
        <v/>
      </c>
      <c r="BM5" s="25">
        <f>IF(AND(ISNUMBER($D5),N(BM$2)&gt;=N($G$2),N(BM$2)&lt;=N($D5)),BM$2,"")</f>
        <v/>
      </c>
      <c r="BN5" s="25">
        <f>IF(AND(ISNUMBER($D5),N(BN$2)&gt;=N($G$2),N(BN$2)&lt;=N($D5)),BN$2,"")</f>
        <v/>
      </c>
      <c r="BO5" s="25">
        <f>IF(AND(ISNUMBER($D5),N(BO$2)&gt;=N($G$2),N(BO$2)&lt;=N($D5)),BO$2,"")</f>
        <v/>
      </c>
    </row>
    <row r="6" ht="20" customHeight="1">
      <c r="A6" s="26" t="inlineStr">
        <is>
          <t>实际</t>
        </is>
      </c>
      <c r="B6" s="26" t="inlineStr">
        <is>
          <t>第一期</t>
        </is>
      </c>
      <c r="C6" s="27" t="inlineStr">
        <is>
          <t>一期零件下单采购</t>
        </is>
      </c>
      <c r="D6" s="28">
        <f>'时间节点计划表'!E3</f>
        <v/>
      </c>
      <c r="E6" s="28">
        <f>IF(COUNT('时间节点计划表'!F3),'时间节点计划表'!F3,"")</f>
        <v/>
      </c>
      <c r="F6" s="29">
        <f>IF(OR(D6="",E6=""),"待填",E6-D6)</f>
        <v/>
      </c>
      <c r="G6" s="25">
        <f>IF(AND(ISNUMBER($E6),N(G$2)&gt;=N($G$2),N(G$2)&lt;=N($E6)),G$2,"")</f>
        <v/>
      </c>
      <c r="H6" s="25">
        <f>IF(AND(ISNUMBER($E6),N(H$2)&gt;=N($G$2),N(H$2)&lt;=N($E6)),H$2,"")</f>
        <v/>
      </c>
      <c r="I6" s="25">
        <f>IF(AND(ISNUMBER($E6),N(I$2)&gt;=N($G$2),N(I$2)&lt;=N($E6)),I$2,"")</f>
        <v/>
      </c>
      <c r="J6" s="25">
        <f>IF(AND(ISNUMBER($E6),N(J$2)&gt;=N($G$2),N(J$2)&lt;=N($E6)),J$2,"")</f>
        <v/>
      </c>
      <c r="K6" s="25">
        <f>IF(AND(ISNUMBER($E6),N(K$2)&gt;=N($G$2),N(K$2)&lt;=N($E6)),K$2,"")</f>
        <v/>
      </c>
      <c r="L6" s="25">
        <f>IF(AND(ISNUMBER($E6),N(L$2)&gt;=N($G$2),N(L$2)&lt;=N($E6)),L$2,"")</f>
        <v/>
      </c>
      <c r="M6" s="25">
        <f>IF(AND(ISNUMBER($E6),N(M$2)&gt;=N($G$2),N(M$2)&lt;=N($E6)),M$2,"")</f>
        <v/>
      </c>
      <c r="N6" s="25">
        <f>IF(AND(ISNUMBER($E6),N(N$2)&gt;=N($G$2),N(N$2)&lt;=N($E6)),N$2,"")</f>
        <v/>
      </c>
      <c r="O6" s="25">
        <f>IF(AND(ISNUMBER($E6),N(O$2)&gt;=N($G$2),N(O$2)&lt;=N($E6)),O$2,"")</f>
        <v/>
      </c>
      <c r="P6" s="25">
        <f>IF(AND(ISNUMBER($E6),N(P$2)&gt;=N($G$2),N(P$2)&lt;=N($E6)),P$2,"")</f>
        <v/>
      </c>
      <c r="Q6" s="25">
        <f>IF(AND(ISNUMBER($E6),N(Q$2)&gt;=N($G$2),N(Q$2)&lt;=N($E6)),Q$2,"")</f>
        <v/>
      </c>
      <c r="R6" s="25">
        <f>IF(AND(ISNUMBER($E6),N(R$2)&gt;=N($G$2),N(R$2)&lt;=N($E6)),R$2,"")</f>
        <v/>
      </c>
      <c r="S6" s="25">
        <f>IF(AND(ISNUMBER($E6),N(S$2)&gt;=N($G$2),N(S$2)&lt;=N($E6)),S$2,"")</f>
        <v/>
      </c>
      <c r="T6" s="25">
        <f>IF(AND(ISNUMBER($E6),N(T$2)&gt;=N($G$2),N(T$2)&lt;=N($E6)),T$2,"")</f>
        <v/>
      </c>
      <c r="U6" s="25">
        <f>IF(AND(ISNUMBER($E6),N(U$2)&gt;=N($G$2),N(U$2)&lt;=N($E6)),U$2,"")</f>
        <v/>
      </c>
      <c r="V6" s="25">
        <f>IF(AND(ISNUMBER($E6),N(V$2)&gt;=N($G$2),N(V$2)&lt;=N($E6)),V$2,"")</f>
        <v/>
      </c>
      <c r="W6" s="25">
        <f>IF(AND(ISNUMBER($E6),N(W$2)&gt;=N($G$2),N(W$2)&lt;=N($E6)),W$2,"")</f>
        <v/>
      </c>
      <c r="X6" s="25">
        <f>IF(AND(ISNUMBER($E6),N(X$2)&gt;=N($G$2),N(X$2)&lt;=N($E6)),X$2,"")</f>
        <v/>
      </c>
      <c r="Y6" s="25">
        <f>IF(AND(ISNUMBER($E6),N(Y$2)&gt;=N($G$2),N(Y$2)&lt;=N($E6)),Y$2,"")</f>
        <v/>
      </c>
      <c r="Z6" s="25">
        <f>IF(AND(ISNUMBER($E6),N(Z$2)&gt;=N($G$2),N(Z$2)&lt;=N($E6)),Z$2,"")</f>
        <v/>
      </c>
      <c r="AA6" s="25">
        <f>IF(AND(ISNUMBER($E6),N(AA$2)&gt;=N($G$2),N(AA$2)&lt;=N($E6)),AA$2,"")</f>
        <v/>
      </c>
      <c r="AB6" s="25">
        <f>IF(AND(ISNUMBER($E6),N(AB$2)&gt;=N($G$2),N(AB$2)&lt;=N($E6)),AB$2,"")</f>
        <v/>
      </c>
      <c r="AC6" s="25">
        <f>IF(AND(ISNUMBER($E6),N(AC$2)&gt;=N($G$2),N(AC$2)&lt;=N($E6)),AC$2,"")</f>
        <v/>
      </c>
      <c r="AD6" s="25">
        <f>IF(AND(ISNUMBER($E6),N(AD$2)&gt;=N($G$2),N(AD$2)&lt;=N($E6)),AD$2,"")</f>
        <v/>
      </c>
      <c r="AE6" s="25">
        <f>IF(AND(ISNUMBER($E6),N(AE$2)&gt;=N($G$2),N(AE$2)&lt;=N($E6)),AE$2,"")</f>
        <v/>
      </c>
      <c r="AF6" s="25">
        <f>IF(AND(ISNUMBER($E6),N(AF$2)&gt;=N($G$2),N(AF$2)&lt;=N($E6)),AF$2,"")</f>
        <v/>
      </c>
      <c r="AG6" s="25">
        <f>IF(AND(ISNUMBER($E6),N(AG$2)&gt;=N($G$2),N(AG$2)&lt;=N($E6)),AG$2,"")</f>
        <v/>
      </c>
      <c r="AH6" s="25">
        <f>IF(AND(ISNUMBER($E6),N(AH$2)&gt;=N($G$2),N(AH$2)&lt;=N($E6)),AH$2,"")</f>
        <v/>
      </c>
      <c r="AI6" s="25">
        <f>IF(AND(ISNUMBER($E6),N(AI$2)&gt;=N($G$2),N(AI$2)&lt;=N($E6)),AI$2,"")</f>
        <v/>
      </c>
      <c r="AJ6" s="25">
        <f>IF(AND(ISNUMBER($E6),N(AJ$2)&gt;=N($G$2),N(AJ$2)&lt;=N($E6)),AJ$2,"")</f>
        <v/>
      </c>
      <c r="AK6" s="25">
        <f>IF(AND(ISNUMBER($E6),N(AK$2)&gt;=N($G$2),N(AK$2)&lt;=N($E6)),AK$2,"")</f>
        <v/>
      </c>
      <c r="AL6" s="25">
        <f>IF(AND(ISNUMBER($E6),N(AL$2)&gt;=N($G$2),N(AL$2)&lt;=N($E6)),AL$2,"")</f>
        <v/>
      </c>
      <c r="AM6" s="25">
        <f>IF(AND(ISNUMBER($E6),N(AM$2)&gt;=N($G$2),N(AM$2)&lt;=N($E6)),AM$2,"")</f>
        <v/>
      </c>
      <c r="AN6" s="25">
        <f>IF(AND(ISNUMBER($E6),N(AN$2)&gt;=N($G$2),N(AN$2)&lt;=N($E6)),AN$2,"")</f>
        <v/>
      </c>
      <c r="AO6" s="25">
        <f>IF(AND(ISNUMBER($E6),N(AO$2)&gt;=N($G$2),N(AO$2)&lt;=N($E6)),AO$2,"")</f>
        <v/>
      </c>
      <c r="AP6" s="25">
        <f>IF(AND(ISNUMBER($E6),N(AP$2)&gt;=N($G$2),N(AP$2)&lt;=N($E6)),AP$2,"")</f>
        <v/>
      </c>
      <c r="AQ6" s="25">
        <f>IF(AND(ISNUMBER($E6),N(AQ$2)&gt;=N($G$2),N(AQ$2)&lt;=N($E6)),AQ$2,"")</f>
        <v/>
      </c>
      <c r="AR6" s="25">
        <f>IF(AND(ISNUMBER($E6),N(AR$2)&gt;=N($G$2),N(AR$2)&lt;=N($E6)),AR$2,"")</f>
        <v/>
      </c>
      <c r="AS6" s="25">
        <f>IF(AND(ISNUMBER($E6),N(AS$2)&gt;=N($G$2),N(AS$2)&lt;=N($E6)),AS$2,"")</f>
        <v/>
      </c>
      <c r="AT6" s="25">
        <f>IF(AND(ISNUMBER($E6),N(AT$2)&gt;=N($G$2),N(AT$2)&lt;=N($E6)),AT$2,"")</f>
        <v/>
      </c>
      <c r="AU6" s="25">
        <f>IF(AND(ISNUMBER($E6),N(AU$2)&gt;=N($G$2),N(AU$2)&lt;=N($E6)),AU$2,"")</f>
        <v/>
      </c>
      <c r="AV6" s="25">
        <f>IF(AND(ISNUMBER($E6),N(AV$2)&gt;=N($G$2),N(AV$2)&lt;=N($E6)),AV$2,"")</f>
        <v/>
      </c>
      <c r="AW6" s="25">
        <f>IF(AND(ISNUMBER($E6),N(AW$2)&gt;=N($G$2),N(AW$2)&lt;=N($E6)),AW$2,"")</f>
        <v/>
      </c>
      <c r="AX6" s="25">
        <f>IF(AND(ISNUMBER($E6),N(AX$2)&gt;=N($G$2),N(AX$2)&lt;=N($E6)),AX$2,"")</f>
        <v/>
      </c>
      <c r="AY6" s="25">
        <f>IF(AND(ISNUMBER($E6),N(AY$2)&gt;=N($G$2),N(AY$2)&lt;=N($E6)),AY$2,"")</f>
        <v/>
      </c>
      <c r="AZ6" s="25">
        <f>IF(AND(ISNUMBER($E6),N(AZ$2)&gt;=N($G$2),N(AZ$2)&lt;=N($E6)),AZ$2,"")</f>
        <v/>
      </c>
      <c r="BA6" s="25">
        <f>IF(AND(ISNUMBER($E6),N(BA$2)&gt;=N($G$2),N(BA$2)&lt;=N($E6)),BA$2,"")</f>
        <v/>
      </c>
      <c r="BB6" s="25">
        <f>IF(AND(ISNUMBER($E6),N(BB$2)&gt;=N($G$2),N(BB$2)&lt;=N($E6)),BB$2,"")</f>
        <v/>
      </c>
      <c r="BC6" s="25">
        <f>IF(AND(ISNUMBER($E6),N(BC$2)&gt;=N($G$2),N(BC$2)&lt;=N($E6)),BC$2,"")</f>
        <v/>
      </c>
      <c r="BD6" s="25">
        <f>IF(AND(ISNUMBER($E6),N(BD$2)&gt;=N($G$2),N(BD$2)&lt;=N($E6)),BD$2,"")</f>
        <v/>
      </c>
      <c r="BE6" s="25">
        <f>IF(AND(ISNUMBER($E6),N(BE$2)&gt;=N($G$2),N(BE$2)&lt;=N($E6)),BE$2,"")</f>
        <v/>
      </c>
      <c r="BF6" s="25">
        <f>IF(AND(ISNUMBER($E6),N(BF$2)&gt;=N($G$2),N(BF$2)&lt;=N($E6)),BF$2,"")</f>
        <v/>
      </c>
      <c r="BG6" s="25">
        <f>IF(AND(ISNUMBER($E6),N(BG$2)&gt;=N($G$2),N(BG$2)&lt;=N($E6)),BG$2,"")</f>
        <v/>
      </c>
      <c r="BH6" s="25">
        <f>IF(AND(ISNUMBER($E6),N(BH$2)&gt;=N($G$2),N(BH$2)&lt;=N($E6)),BH$2,"")</f>
        <v/>
      </c>
      <c r="BI6" s="25">
        <f>IF(AND(ISNUMBER($E6),N(BI$2)&gt;=N($G$2),N(BI$2)&lt;=N($E6)),BI$2,"")</f>
        <v/>
      </c>
      <c r="BJ6" s="25">
        <f>IF(AND(ISNUMBER($E6),N(BJ$2)&gt;=N($G$2),N(BJ$2)&lt;=N($E6)),BJ$2,"")</f>
        <v/>
      </c>
      <c r="BK6" s="25">
        <f>IF(AND(ISNUMBER($E6),N(BK$2)&gt;=N($G$2),N(BK$2)&lt;=N($E6)),BK$2,"")</f>
        <v/>
      </c>
      <c r="BL6" s="25">
        <f>IF(AND(ISNUMBER($E6),N(BL$2)&gt;=N($G$2),N(BL$2)&lt;=N($E6)),BL$2,"")</f>
        <v/>
      </c>
      <c r="BM6" s="25">
        <f>IF(AND(ISNUMBER($E6),N(BM$2)&gt;=N($G$2),N(BM$2)&lt;=N($E6)),BM$2,"")</f>
        <v/>
      </c>
      <c r="BN6" s="25">
        <f>IF(AND(ISNUMBER($E6),N(BN$2)&gt;=N($G$2),N(BN$2)&lt;=N($E6)),BN$2,"")</f>
        <v/>
      </c>
      <c r="BO6" s="25">
        <f>IF(AND(ISNUMBER($E6),N(BO$2)&gt;=N($G$2),N(BO$2)&lt;=N($E6)),BO$2,"")</f>
        <v/>
      </c>
    </row>
    <row r="7" ht="20" customHeight="1">
      <c r="A7" s="21" t="inlineStr">
        <is>
          <t>预估</t>
        </is>
      </c>
      <c r="B7" s="21" t="inlineStr">
        <is>
          <t>第一期</t>
        </is>
      </c>
      <c r="C7" s="22" t="inlineStr">
        <is>
          <t>一期标准件下单采购</t>
        </is>
      </c>
      <c r="D7" s="23">
        <f>'时间节点计划表'!E4</f>
        <v/>
      </c>
      <c r="E7" s="23">
        <f>IF(COUNT('时间节点计划表'!F4),'时间节点计划表'!F4,"")</f>
        <v/>
      </c>
      <c r="F7" s="24" t="inlineStr"/>
      <c r="G7" s="25">
        <f>IF(AND(ISNUMBER($D7),N(G$2)&gt;=N($G$2),N(G$2)&lt;=N($D7)),G$2,"")</f>
        <v/>
      </c>
      <c r="H7" s="25">
        <f>IF(AND(ISNUMBER($D7),N(H$2)&gt;=N($G$2),N(H$2)&lt;=N($D7)),H$2,"")</f>
        <v/>
      </c>
      <c r="I7" s="25">
        <f>IF(AND(ISNUMBER($D7),N(I$2)&gt;=N($G$2),N(I$2)&lt;=N($D7)),I$2,"")</f>
        <v/>
      </c>
      <c r="J7" s="25">
        <f>IF(AND(ISNUMBER($D7),N(J$2)&gt;=N($G$2),N(J$2)&lt;=N($D7)),J$2,"")</f>
        <v/>
      </c>
      <c r="K7" s="25">
        <f>IF(AND(ISNUMBER($D7),N(K$2)&gt;=N($G$2),N(K$2)&lt;=N($D7)),K$2,"")</f>
        <v/>
      </c>
      <c r="L7" s="25">
        <f>IF(AND(ISNUMBER($D7),N(L$2)&gt;=N($G$2),N(L$2)&lt;=N($D7)),L$2,"")</f>
        <v/>
      </c>
      <c r="M7" s="25">
        <f>IF(AND(ISNUMBER($D7),N(M$2)&gt;=N($G$2),N(M$2)&lt;=N($D7)),M$2,"")</f>
        <v/>
      </c>
      <c r="N7" s="25">
        <f>IF(AND(ISNUMBER($D7),N(N$2)&gt;=N($G$2),N(N$2)&lt;=N($D7)),N$2,"")</f>
        <v/>
      </c>
      <c r="O7" s="25">
        <f>IF(AND(ISNUMBER($D7),N(O$2)&gt;=N($G$2),N(O$2)&lt;=N($D7)),O$2,"")</f>
        <v/>
      </c>
      <c r="P7" s="25">
        <f>IF(AND(ISNUMBER($D7),N(P$2)&gt;=N($G$2),N(P$2)&lt;=N($D7)),P$2,"")</f>
        <v/>
      </c>
      <c r="Q7" s="25">
        <f>IF(AND(ISNUMBER($D7),N(Q$2)&gt;=N($G$2),N(Q$2)&lt;=N($D7)),Q$2,"")</f>
        <v/>
      </c>
      <c r="R7" s="25">
        <f>IF(AND(ISNUMBER($D7),N(R$2)&gt;=N($G$2),N(R$2)&lt;=N($D7)),R$2,"")</f>
        <v/>
      </c>
      <c r="S7" s="25">
        <f>IF(AND(ISNUMBER($D7),N(S$2)&gt;=N($G$2),N(S$2)&lt;=N($D7)),S$2,"")</f>
        <v/>
      </c>
      <c r="T7" s="25">
        <f>IF(AND(ISNUMBER($D7),N(T$2)&gt;=N($G$2),N(T$2)&lt;=N($D7)),T$2,"")</f>
        <v/>
      </c>
      <c r="U7" s="25">
        <f>IF(AND(ISNUMBER($D7),N(U$2)&gt;=N($G$2),N(U$2)&lt;=N($D7)),U$2,"")</f>
        <v/>
      </c>
      <c r="V7" s="25">
        <f>IF(AND(ISNUMBER($D7),N(V$2)&gt;=N($G$2),N(V$2)&lt;=N($D7)),V$2,"")</f>
        <v/>
      </c>
      <c r="W7" s="25">
        <f>IF(AND(ISNUMBER($D7),N(W$2)&gt;=N($G$2),N(W$2)&lt;=N($D7)),W$2,"")</f>
        <v/>
      </c>
      <c r="X7" s="25">
        <f>IF(AND(ISNUMBER($D7),N(X$2)&gt;=N($G$2),N(X$2)&lt;=N($D7)),X$2,"")</f>
        <v/>
      </c>
      <c r="Y7" s="25">
        <f>IF(AND(ISNUMBER($D7),N(Y$2)&gt;=N($G$2),N(Y$2)&lt;=N($D7)),Y$2,"")</f>
        <v/>
      </c>
      <c r="Z7" s="25">
        <f>IF(AND(ISNUMBER($D7),N(Z$2)&gt;=N($G$2),N(Z$2)&lt;=N($D7)),Z$2,"")</f>
        <v/>
      </c>
      <c r="AA7" s="25">
        <f>IF(AND(ISNUMBER($D7),N(AA$2)&gt;=N($G$2),N(AA$2)&lt;=N($D7)),AA$2,"")</f>
        <v/>
      </c>
      <c r="AB7" s="25">
        <f>IF(AND(ISNUMBER($D7),N(AB$2)&gt;=N($G$2),N(AB$2)&lt;=N($D7)),AB$2,"")</f>
        <v/>
      </c>
      <c r="AC7" s="25">
        <f>IF(AND(ISNUMBER($D7),N(AC$2)&gt;=N($G$2),N(AC$2)&lt;=N($D7)),AC$2,"")</f>
        <v/>
      </c>
      <c r="AD7" s="25">
        <f>IF(AND(ISNUMBER($D7),N(AD$2)&gt;=N($G$2),N(AD$2)&lt;=N($D7)),AD$2,"")</f>
        <v/>
      </c>
      <c r="AE7" s="25">
        <f>IF(AND(ISNUMBER($D7),N(AE$2)&gt;=N($G$2),N(AE$2)&lt;=N($D7)),AE$2,"")</f>
        <v/>
      </c>
      <c r="AF7" s="25">
        <f>IF(AND(ISNUMBER($D7),N(AF$2)&gt;=N($G$2),N(AF$2)&lt;=N($D7)),AF$2,"")</f>
        <v/>
      </c>
      <c r="AG7" s="25">
        <f>IF(AND(ISNUMBER($D7),N(AG$2)&gt;=N($G$2),N(AG$2)&lt;=N($D7)),AG$2,"")</f>
        <v/>
      </c>
      <c r="AH7" s="25">
        <f>IF(AND(ISNUMBER($D7),N(AH$2)&gt;=N($G$2),N(AH$2)&lt;=N($D7)),AH$2,"")</f>
        <v/>
      </c>
      <c r="AI7" s="25">
        <f>IF(AND(ISNUMBER($D7),N(AI$2)&gt;=N($G$2),N(AI$2)&lt;=N($D7)),AI$2,"")</f>
        <v/>
      </c>
      <c r="AJ7" s="25">
        <f>IF(AND(ISNUMBER($D7),N(AJ$2)&gt;=N($G$2),N(AJ$2)&lt;=N($D7)),AJ$2,"")</f>
        <v/>
      </c>
      <c r="AK7" s="25">
        <f>IF(AND(ISNUMBER($D7),N(AK$2)&gt;=N($G$2),N(AK$2)&lt;=N($D7)),AK$2,"")</f>
        <v/>
      </c>
      <c r="AL7" s="25">
        <f>IF(AND(ISNUMBER($D7),N(AL$2)&gt;=N($G$2),N(AL$2)&lt;=N($D7)),AL$2,"")</f>
        <v/>
      </c>
      <c r="AM7" s="25">
        <f>IF(AND(ISNUMBER($D7),N(AM$2)&gt;=N($G$2),N(AM$2)&lt;=N($D7)),AM$2,"")</f>
        <v/>
      </c>
      <c r="AN7" s="25">
        <f>IF(AND(ISNUMBER($D7),N(AN$2)&gt;=N($G$2),N(AN$2)&lt;=N($D7)),AN$2,"")</f>
        <v/>
      </c>
      <c r="AO7" s="25">
        <f>IF(AND(ISNUMBER($D7),N(AO$2)&gt;=N($G$2),N(AO$2)&lt;=N($D7)),AO$2,"")</f>
        <v/>
      </c>
      <c r="AP7" s="25">
        <f>IF(AND(ISNUMBER($D7),N(AP$2)&gt;=N($G$2),N(AP$2)&lt;=N($D7)),AP$2,"")</f>
        <v/>
      </c>
      <c r="AQ7" s="25">
        <f>IF(AND(ISNUMBER($D7),N(AQ$2)&gt;=N($G$2),N(AQ$2)&lt;=N($D7)),AQ$2,"")</f>
        <v/>
      </c>
      <c r="AR7" s="25">
        <f>IF(AND(ISNUMBER($D7),N(AR$2)&gt;=N($G$2),N(AR$2)&lt;=N($D7)),AR$2,"")</f>
        <v/>
      </c>
      <c r="AS7" s="25">
        <f>IF(AND(ISNUMBER($D7),N(AS$2)&gt;=N($G$2),N(AS$2)&lt;=N($D7)),AS$2,"")</f>
        <v/>
      </c>
      <c r="AT7" s="25">
        <f>IF(AND(ISNUMBER($D7),N(AT$2)&gt;=N($G$2),N(AT$2)&lt;=N($D7)),AT$2,"")</f>
        <v/>
      </c>
      <c r="AU7" s="25">
        <f>IF(AND(ISNUMBER($D7),N(AU$2)&gt;=N($G$2),N(AU$2)&lt;=N($D7)),AU$2,"")</f>
        <v/>
      </c>
      <c r="AV7" s="25">
        <f>IF(AND(ISNUMBER($D7),N(AV$2)&gt;=N($G$2),N(AV$2)&lt;=N($D7)),AV$2,"")</f>
        <v/>
      </c>
      <c r="AW7" s="25">
        <f>IF(AND(ISNUMBER($D7),N(AW$2)&gt;=N($G$2),N(AW$2)&lt;=N($D7)),AW$2,"")</f>
        <v/>
      </c>
      <c r="AX7" s="25">
        <f>IF(AND(ISNUMBER($D7),N(AX$2)&gt;=N($G$2),N(AX$2)&lt;=N($D7)),AX$2,"")</f>
        <v/>
      </c>
      <c r="AY7" s="25">
        <f>IF(AND(ISNUMBER($D7),N(AY$2)&gt;=N($G$2),N(AY$2)&lt;=N($D7)),AY$2,"")</f>
        <v/>
      </c>
      <c r="AZ7" s="25">
        <f>IF(AND(ISNUMBER($D7),N(AZ$2)&gt;=N($G$2),N(AZ$2)&lt;=N($D7)),AZ$2,"")</f>
        <v/>
      </c>
      <c r="BA7" s="25">
        <f>IF(AND(ISNUMBER($D7),N(BA$2)&gt;=N($G$2),N(BA$2)&lt;=N($D7)),BA$2,"")</f>
        <v/>
      </c>
      <c r="BB7" s="25">
        <f>IF(AND(ISNUMBER($D7),N(BB$2)&gt;=N($G$2),N(BB$2)&lt;=N($D7)),BB$2,"")</f>
        <v/>
      </c>
      <c r="BC7" s="25">
        <f>IF(AND(ISNUMBER($D7),N(BC$2)&gt;=N($G$2),N(BC$2)&lt;=N($D7)),BC$2,"")</f>
        <v/>
      </c>
      <c r="BD7" s="25">
        <f>IF(AND(ISNUMBER($D7),N(BD$2)&gt;=N($G$2),N(BD$2)&lt;=N($D7)),BD$2,"")</f>
        <v/>
      </c>
      <c r="BE7" s="25">
        <f>IF(AND(ISNUMBER($D7),N(BE$2)&gt;=N($G$2),N(BE$2)&lt;=N($D7)),BE$2,"")</f>
        <v/>
      </c>
      <c r="BF7" s="25">
        <f>IF(AND(ISNUMBER($D7),N(BF$2)&gt;=N($G$2),N(BF$2)&lt;=N($D7)),BF$2,"")</f>
        <v/>
      </c>
      <c r="BG7" s="25">
        <f>IF(AND(ISNUMBER($D7),N(BG$2)&gt;=N($G$2),N(BG$2)&lt;=N($D7)),BG$2,"")</f>
        <v/>
      </c>
      <c r="BH7" s="25">
        <f>IF(AND(ISNUMBER($D7),N(BH$2)&gt;=N($G$2),N(BH$2)&lt;=N($D7)),BH$2,"")</f>
        <v/>
      </c>
      <c r="BI7" s="25">
        <f>IF(AND(ISNUMBER($D7),N(BI$2)&gt;=N($G$2),N(BI$2)&lt;=N($D7)),BI$2,"")</f>
        <v/>
      </c>
      <c r="BJ7" s="25">
        <f>IF(AND(ISNUMBER($D7),N(BJ$2)&gt;=N($G$2),N(BJ$2)&lt;=N($D7)),BJ$2,"")</f>
        <v/>
      </c>
      <c r="BK7" s="25">
        <f>IF(AND(ISNUMBER($D7),N(BK$2)&gt;=N($G$2),N(BK$2)&lt;=N($D7)),BK$2,"")</f>
        <v/>
      </c>
      <c r="BL7" s="25">
        <f>IF(AND(ISNUMBER($D7),N(BL$2)&gt;=N($G$2),N(BL$2)&lt;=N($D7)),BL$2,"")</f>
        <v/>
      </c>
      <c r="BM7" s="25">
        <f>IF(AND(ISNUMBER($D7),N(BM$2)&gt;=N($G$2),N(BM$2)&lt;=N($D7)),BM$2,"")</f>
        <v/>
      </c>
      <c r="BN7" s="25">
        <f>IF(AND(ISNUMBER($D7),N(BN$2)&gt;=N($G$2),N(BN$2)&lt;=N($D7)),BN$2,"")</f>
        <v/>
      </c>
      <c r="BO7" s="25">
        <f>IF(AND(ISNUMBER($D7),N(BO$2)&gt;=N($G$2),N(BO$2)&lt;=N($D7)),BO$2,"")</f>
        <v/>
      </c>
    </row>
    <row r="8" ht="20" customHeight="1">
      <c r="A8" s="26" t="inlineStr">
        <is>
          <t>实际</t>
        </is>
      </c>
      <c r="B8" s="26" t="inlineStr">
        <is>
          <t>第一期</t>
        </is>
      </c>
      <c r="C8" s="27" t="inlineStr">
        <is>
          <t>一期标准件下单采购</t>
        </is>
      </c>
      <c r="D8" s="28">
        <f>'时间节点计划表'!E4</f>
        <v/>
      </c>
      <c r="E8" s="28">
        <f>IF(COUNT('时间节点计划表'!F4),'时间节点计划表'!F4,"")</f>
        <v/>
      </c>
      <c r="F8" s="29">
        <f>IF(OR(D8="",E8=""),"待填",E8-D8)</f>
        <v/>
      </c>
      <c r="G8" s="25">
        <f>IF(AND(ISNUMBER($E8),N(G$2)&gt;=N($G$2),N(G$2)&lt;=N($E8)),G$2,"")</f>
        <v/>
      </c>
      <c r="H8" s="25">
        <f>IF(AND(ISNUMBER($E8),N(H$2)&gt;=N($G$2),N(H$2)&lt;=N($E8)),H$2,"")</f>
        <v/>
      </c>
      <c r="I8" s="25">
        <f>IF(AND(ISNUMBER($E8),N(I$2)&gt;=N($G$2),N(I$2)&lt;=N($E8)),I$2,"")</f>
        <v/>
      </c>
      <c r="J8" s="25">
        <f>IF(AND(ISNUMBER($E8),N(J$2)&gt;=N($G$2),N(J$2)&lt;=N($E8)),J$2,"")</f>
        <v/>
      </c>
      <c r="K8" s="25">
        <f>IF(AND(ISNUMBER($E8),N(K$2)&gt;=N($G$2),N(K$2)&lt;=N($E8)),K$2,"")</f>
        <v/>
      </c>
      <c r="L8" s="25">
        <f>IF(AND(ISNUMBER($E8),N(L$2)&gt;=N($G$2),N(L$2)&lt;=N($E8)),L$2,"")</f>
        <v/>
      </c>
      <c r="M8" s="25">
        <f>IF(AND(ISNUMBER($E8),N(M$2)&gt;=N($G$2),N(M$2)&lt;=N($E8)),M$2,"")</f>
        <v/>
      </c>
      <c r="N8" s="25">
        <f>IF(AND(ISNUMBER($E8),N(N$2)&gt;=N($G$2),N(N$2)&lt;=N($E8)),N$2,"")</f>
        <v/>
      </c>
      <c r="O8" s="25">
        <f>IF(AND(ISNUMBER($E8),N(O$2)&gt;=N($G$2),N(O$2)&lt;=N($E8)),O$2,"")</f>
        <v/>
      </c>
      <c r="P8" s="25">
        <f>IF(AND(ISNUMBER($E8),N(P$2)&gt;=N($G$2),N(P$2)&lt;=N($E8)),P$2,"")</f>
        <v/>
      </c>
      <c r="Q8" s="25">
        <f>IF(AND(ISNUMBER($E8),N(Q$2)&gt;=N($G$2),N(Q$2)&lt;=N($E8)),Q$2,"")</f>
        <v/>
      </c>
      <c r="R8" s="25">
        <f>IF(AND(ISNUMBER($E8),N(R$2)&gt;=N($G$2),N(R$2)&lt;=N($E8)),R$2,"")</f>
        <v/>
      </c>
      <c r="S8" s="25">
        <f>IF(AND(ISNUMBER($E8),N(S$2)&gt;=N($G$2),N(S$2)&lt;=N($E8)),S$2,"")</f>
        <v/>
      </c>
      <c r="T8" s="25">
        <f>IF(AND(ISNUMBER($E8),N(T$2)&gt;=N($G$2),N(T$2)&lt;=N($E8)),T$2,"")</f>
        <v/>
      </c>
      <c r="U8" s="25">
        <f>IF(AND(ISNUMBER($E8),N(U$2)&gt;=N($G$2),N(U$2)&lt;=N($E8)),U$2,"")</f>
        <v/>
      </c>
      <c r="V8" s="25">
        <f>IF(AND(ISNUMBER($E8),N(V$2)&gt;=N($G$2),N(V$2)&lt;=N($E8)),V$2,"")</f>
        <v/>
      </c>
      <c r="W8" s="25">
        <f>IF(AND(ISNUMBER($E8),N(W$2)&gt;=N($G$2),N(W$2)&lt;=N($E8)),W$2,"")</f>
        <v/>
      </c>
      <c r="X8" s="25">
        <f>IF(AND(ISNUMBER($E8),N(X$2)&gt;=N($G$2),N(X$2)&lt;=N($E8)),X$2,"")</f>
        <v/>
      </c>
      <c r="Y8" s="25">
        <f>IF(AND(ISNUMBER($E8),N(Y$2)&gt;=N($G$2),N(Y$2)&lt;=N($E8)),Y$2,"")</f>
        <v/>
      </c>
      <c r="Z8" s="25">
        <f>IF(AND(ISNUMBER($E8),N(Z$2)&gt;=N($G$2),N(Z$2)&lt;=N($E8)),Z$2,"")</f>
        <v/>
      </c>
      <c r="AA8" s="25">
        <f>IF(AND(ISNUMBER($E8),N(AA$2)&gt;=N($G$2),N(AA$2)&lt;=N($E8)),AA$2,"")</f>
        <v/>
      </c>
      <c r="AB8" s="25">
        <f>IF(AND(ISNUMBER($E8),N(AB$2)&gt;=N($G$2),N(AB$2)&lt;=N($E8)),AB$2,"")</f>
        <v/>
      </c>
      <c r="AC8" s="25">
        <f>IF(AND(ISNUMBER($E8),N(AC$2)&gt;=N($G$2),N(AC$2)&lt;=N($E8)),AC$2,"")</f>
        <v/>
      </c>
      <c r="AD8" s="25">
        <f>IF(AND(ISNUMBER($E8),N(AD$2)&gt;=N($G$2),N(AD$2)&lt;=N($E8)),AD$2,"")</f>
        <v/>
      </c>
      <c r="AE8" s="25">
        <f>IF(AND(ISNUMBER($E8),N(AE$2)&gt;=N($G$2),N(AE$2)&lt;=N($E8)),AE$2,"")</f>
        <v/>
      </c>
      <c r="AF8" s="25">
        <f>IF(AND(ISNUMBER($E8),N(AF$2)&gt;=N($G$2),N(AF$2)&lt;=N($E8)),AF$2,"")</f>
        <v/>
      </c>
      <c r="AG8" s="25">
        <f>IF(AND(ISNUMBER($E8),N(AG$2)&gt;=N($G$2),N(AG$2)&lt;=N($E8)),AG$2,"")</f>
        <v/>
      </c>
      <c r="AH8" s="25">
        <f>IF(AND(ISNUMBER($E8),N(AH$2)&gt;=N($G$2),N(AH$2)&lt;=N($E8)),AH$2,"")</f>
        <v/>
      </c>
      <c r="AI8" s="25">
        <f>IF(AND(ISNUMBER($E8),N(AI$2)&gt;=N($G$2),N(AI$2)&lt;=N($E8)),AI$2,"")</f>
        <v/>
      </c>
      <c r="AJ8" s="25">
        <f>IF(AND(ISNUMBER($E8),N(AJ$2)&gt;=N($G$2),N(AJ$2)&lt;=N($E8)),AJ$2,"")</f>
        <v/>
      </c>
      <c r="AK8" s="25">
        <f>IF(AND(ISNUMBER($E8),N(AK$2)&gt;=N($G$2),N(AK$2)&lt;=N($E8)),AK$2,"")</f>
        <v/>
      </c>
      <c r="AL8" s="25">
        <f>IF(AND(ISNUMBER($E8),N(AL$2)&gt;=N($G$2),N(AL$2)&lt;=N($E8)),AL$2,"")</f>
        <v/>
      </c>
      <c r="AM8" s="25">
        <f>IF(AND(ISNUMBER($E8),N(AM$2)&gt;=N($G$2),N(AM$2)&lt;=N($E8)),AM$2,"")</f>
        <v/>
      </c>
      <c r="AN8" s="25">
        <f>IF(AND(ISNUMBER($E8),N(AN$2)&gt;=N($G$2),N(AN$2)&lt;=N($E8)),AN$2,"")</f>
        <v/>
      </c>
      <c r="AO8" s="25">
        <f>IF(AND(ISNUMBER($E8),N(AO$2)&gt;=N($G$2),N(AO$2)&lt;=N($E8)),AO$2,"")</f>
        <v/>
      </c>
      <c r="AP8" s="25">
        <f>IF(AND(ISNUMBER($E8),N(AP$2)&gt;=N($G$2),N(AP$2)&lt;=N($E8)),AP$2,"")</f>
        <v/>
      </c>
      <c r="AQ8" s="25">
        <f>IF(AND(ISNUMBER($E8),N(AQ$2)&gt;=N($G$2),N(AQ$2)&lt;=N($E8)),AQ$2,"")</f>
        <v/>
      </c>
      <c r="AR8" s="25">
        <f>IF(AND(ISNUMBER($E8),N(AR$2)&gt;=N($G$2),N(AR$2)&lt;=N($E8)),AR$2,"")</f>
        <v/>
      </c>
      <c r="AS8" s="25">
        <f>IF(AND(ISNUMBER($E8),N(AS$2)&gt;=N($G$2),N(AS$2)&lt;=N($E8)),AS$2,"")</f>
        <v/>
      </c>
      <c r="AT8" s="25">
        <f>IF(AND(ISNUMBER($E8),N(AT$2)&gt;=N($G$2),N(AT$2)&lt;=N($E8)),AT$2,"")</f>
        <v/>
      </c>
      <c r="AU8" s="25">
        <f>IF(AND(ISNUMBER($E8),N(AU$2)&gt;=N($G$2),N(AU$2)&lt;=N($E8)),AU$2,"")</f>
        <v/>
      </c>
      <c r="AV8" s="25">
        <f>IF(AND(ISNUMBER($E8),N(AV$2)&gt;=N($G$2),N(AV$2)&lt;=N($E8)),AV$2,"")</f>
        <v/>
      </c>
      <c r="AW8" s="25">
        <f>IF(AND(ISNUMBER($E8),N(AW$2)&gt;=N($G$2),N(AW$2)&lt;=N($E8)),AW$2,"")</f>
        <v/>
      </c>
      <c r="AX8" s="25">
        <f>IF(AND(ISNUMBER($E8),N(AX$2)&gt;=N($G$2),N(AX$2)&lt;=N($E8)),AX$2,"")</f>
        <v/>
      </c>
      <c r="AY8" s="25">
        <f>IF(AND(ISNUMBER($E8),N(AY$2)&gt;=N($G$2),N(AY$2)&lt;=N($E8)),AY$2,"")</f>
        <v/>
      </c>
      <c r="AZ8" s="25">
        <f>IF(AND(ISNUMBER($E8),N(AZ$2)&gt;=N($G$2),N(AZ$2)&lt;=N($E8)),AZ$2,"")</f>
        <v/>
      </c>
      <c r="BA8" s="25">
        <f>IF(AND(ISNUMBER($E8),N(BA$2)&gt;=N($G$2),N(BA$2)&lt;=N($E8)),BA$2,"")</f>
        <v/>
      </c>
      <c r="BB8" s="25">
        <f>IF(AND(ISNUMBER($E8),N(BB$2)&gt;=N($G$2),N(BB$2)&lt;=N($E8)),BB$2,"")</f>
        <v/>
      </c>
      <c r="BC8" s="25">
        <f>IF(AND(ISNUMBER($E8),N(BC$2)&gt;=N($G$2),N(BC$2)&lt;=N($E8)),BC$2,"")</f>
        <v/>
      </c>
      <c r="BD8" s="25">
        <f>IF(AND(ISNUMBER($E8),N(BD$2)&gt;=N($G$2),N(BD$2)&lt;=N($E8)),BD$2,"")</f>
        <v/>
      </c>
      <c r="BE8" s="25">
        <f>IF(AND(ISNUMBER($E8),N(BE$2)&gt;=N($G$2),N(BE$2)&lt;=N($E8)),BE$2,"")</f>
        <v/>
      </c>
      <c r="BF8" s="25">
        <f>IF(AND(ISNUMBER($E8),N(BF$2)&gt;=N($G$2),N(BF$2)&lt;=N($E8)),BF$2,"")</f>
        <v/>
      </c>
      <c r="BG8" s="25">
        <f>IF(AND(ISNUMBER($E8),N(BG$2)&gt;=N($G$2),N(BG$2)&lt;=N($E8)),BG$2,"")</f>
        <v/>
      </c>
      <c r="BH8" s="25">
        <f>IF(AND(ISNUMBER($E8),N(BH$2)&gt;=N($G$2),N(BH$2)&lt;=N($E8)),BH$2,"")</f>
        <v/>
      </c>
      <c r="BI8" s="25">
        <f>IF(AND(ISNUMBER($E8),N(BI$2)&gt;=N($G$2),N(BI$2)&lt;=N($E8)),BI$2,"")</f>
        <v/>
      </c>
      <c r="BJ8" s="25">
        <f>IF(AND(ISNUMBER($E8),N(BJ$2)&gt;=N($G$2),N(BJ$2)&lt;=N($E8)),BJ$2,"")</f>
        <v/>
      </c>
      <c r="BK8" s="25">
        <f>IF(AND(ISNUMBER($E8),N(BK$2)&gt;=N($G$2),N(BK$2)&lt;=N($E8)),BK$2,"")</f>
        <v/>
      </c>
      <c r="BL8" s="25">
        <f>IF(AND(ISNUMBER($E8),N(BL$2)&gt;=N($G$2),N(BL$2)&lt;=N($E8)),BL$2,"")</f>
        <v/>
      </c>
      <c r="BM8" s="25">
        <f>IF(AND(ISNUMBER($E8),N(BM$2)&gt;=N($G$2),N(BM$2)&lt;=N($E8)),BM$2,"")</f>
        <v/>
      </c>
      <c r="BN8" s="25">
        <f>IF(AND(ISNUMBER($E8),N(BN$2)&gt;=N($G$2),N(BN$2)&lt;=N($E8)),BN$2,"")</f>
        <v/>
      </c>
      <c r="BO8" s="25">
        <f>IF(AND(ISNUMBER($E8),N(BO$2)&gt;=N($G$2),N(BO$2)&lt;=N($E8)),BO$2,"")</f>
        <v/>
      </c>
    </row>
    <row r="9" ht="20" customHeight="1">
      <c r="A9" s="21" t="inlineStr">
        <is>
          <t>预估</t>
        </is>
      </c>
      <c r="B9" s="21" t="inlineStr">
        <is>
          <t>第一期</t>
        </is>
      </c>
      <c r="C9" s="22" t="inlineStr">
        <is>
          <t>装配线布局完成</t>
        </is>
      </c>
      <c r="D9" s="23">
        <f>'时间节点计划表'!E5</f>
        <v/>
      </c>
      <c r="E9" s="23">
        <f>IF(COUNT('时间节点计划表'!F5),'时间节点计划表'!F5,"")</f>
        <v/>
      </c>
      <c r="F9" s="24" t="inlineStr"/>
      <c r="G9" s="25">
        <f>IF(AND(ISNUMBER($D9),N(G$2)&gt;=N($G$2),N(G$2)&lt;=N($D9)),G$2,"")</f>
        <v/>
      </c>
      <c r="H9" s="25">
        <f>IF(AND(ISNUMBER($D9),N(H$2)&gt;=N($G$2),N(H$2)&lt;=N($D9)),H$2,"")</f>
        <v/>
      </c>
      <c r="I9" s="25">
        <f>IF(AND(ISNUMBER($D9),N(I$2)&gt;=N($G$2),N(I$2)&lt;=N($D9)),I$2,"")</f>
        <v/>
      </c>
      <c r="J9" s="25">
        <f>IF(AND(ISNUMBER($D9),N(J$2)&gt;=N($G$2),N(J$2)&lt;=N($D9)),J$2,"")</f>
        <v/>
      </c>
      <c r="K9" s="25">
        <f>IF(AND(ISNUMBER($D9),N(K$2)&gt;=N($G$2),N(K$2)&lt;=N($D9)),K$2,"")</f>
        <v/>
      </c>
      <c r="L9" s="25">
        <f>IF(AND(ISNUMBER($D9),N(L$2)&gt;=N($G$2),N(L$2)&lt;=N($D9)),L$2,"")</f>
        <v/>
      </c>
      <c r="M9" s="25">
        <f>IF(AND(ISNUMBER($D9),N(M$2)&gt;=N($G$2),N(M$2)&lt;=N($D9)),M$2,"")</f>
        <v/>
      </c>
      <c r="N9" s="25">
        <f>IF(AND(ISNUMBER($D9),N(N$2)&gt;=N($G$2),N(N$2)&lt;=N($D9)),N$2,"")</f>
        <v/>
      </c>
      <c r="O9" s="25">
        <f>IF(AND(ISNUMBER($D9),N(O$2)&gt;=N($G$2),N(O$2)&lt;=N($D9)),O$2,"")</f>
        <v/>
      </c>
      <c r="P9" s="25">
        <f>IF(AND(ISNUMBER($D9),N(P$2)&gt;=N($G$2),N(P$2)&lt;=N($D9)),P$2,"")</f>
        <v/>
      </c>
      <c r="Q9" s="25">
        <f>IF(AND(ISNUMBER($D9),N(Q$2)&gt;=N($G$2),N(Q$2)&lt;=N($D9)),Q$2,"")</f>
        <v/>
      </c>
      <c r="R9" s="25">
        <f>IF(AND(ISNUMBER($D9),N(R$2)&gt;=N($G$2),N(R$2)&lt;=N($D9)),R$2,"")</f>
        <v/>
      </c>
      <c r="S9" s="25">
        <f>IF(AND(ISNUMBER($D9),N(S$2)&gt;=N($G$2),N(S$2)&lt;=N($D9)),S$2,"")</f>
        <v/>
      </c>
      <c r="T9" s="25">
        <f>IF(AND(ISNUMBER($D9),N(T$2)&gt;=N($G$2),N(T$2)&lt;=N($D9)),T$2,"")</f>
        <v/>
      </c>
      <c r="U9" s="25">
        <f>IF(AND(ISNUMBER($D9),N(U$2)&gt;=N($G$2),N(U$2)&lt;=N($D9)),U$2,"")</f>
        <v/>
      </c>
      <c r="V9" s="25">
        <f>IF(AND(ISNUMBER($D9),N(V$2)&gt;=N($G$2),N(V$2)&lt;=N($D9)),V$2,"")</f>
        <v/>
      </c>
      <c r="W9" s="25">
        <f>IF(AND(ISNUMBER($D9),N(W$2)&gt;=N($G$2),N(W$2)&lt;=N($D9)),W$2,"")</f>
        <v/>
      </c>
      <c r="X9" s="25">
        <f>IF(AND(ISNUMBER($D9),N(X$2)&gt;=N($G$2),N(X$2)&lt;=N($D9)),X$2,"")</f>
        <v/>
      </c>
      <c r="Y9" s="25">
        <f>IF(AND(ISNUMBER($D9),N(Y$2)&gt;=N($G$2),N(Y$2)&lt;=N($D9)),Y$2,"")</f>
        <v/>
      </c>
      <c r="Z9" s="25">
        <f>IF(AND(ISNUMBER($D9),N(Z$2)&gt;=N($G$2),N(Z$2)&lt;=N($D9)),Z$2,"")</f>
        <v/>
      </c>
      <c r="AA9" s="25">
        <f>IF(AND(ISNUMBER($D9),N(AA$2)&gt;=N($G$2),N(AA$2)&lt;=N($D9)),AA$2,"")</f>
        <v/>
      </c>
      <c r="AB9" s="25">
        <f>IF(AND(ISNUMBER($D9),N(AB$2)&gt;=N($G$2),N(AB$2)&lt;=N($D9)),AB$2,"")</f>
        <v/>
      </c>
      <c r="AC9" s="25">
        <f>IF(AND(ISNUMBER($D9),N(AC$2)&gt;=N($G$2),N(AC$2)&lt;=N($D9)),AC$2,"")</f>
        <v/>
      </c>
      <c r="AD9" s="25">
        <f>IF(AND(ISNUMBER($D9),N(AD$2)&gt;=N($G$2),N(AD$2)&lt;=N($D9)),AD$2,"")</f>
        <v/>
      </c>
      <c r="AE9" s="25">
        <f>IF(AND(ISNUMBER($D9),N(AE$2)&gt;=N($G$2),N(AE$2)&lt;=N($D9)),AE$2,"")</f>
        <v/>
      </c>
      <c r="AF9" s="25">
        <f>IF(AND(ISNUMBER($D9),N(AF$2)&gt;=N($G$2),N(AF$2)&lt;=N($D9)),AF$2,"")</f>
        <v/>
      </c>
      <c r="AG9" s="25">
        <f>IF(AND(ISNUMBER($D9),N(AG$2)&gt;=N($G$2),N(AG$2)&lt;=N($D9)),AG$2,"")</f>
        <v/>
      </c>
      <c r="AH9" s="25">
        <f>IF(AND(ISNUMBER($D9),N(AH$2)&gt;=N($G$2),N(AH$2)&lt;=N($D9)),AH$2,"")</f>
        <v/>
      </c>
      <c r="AI9" s="25">
        <f>IF(AND(ISNUMBER($D9),N(AI$2)&gt;=N($G$2),N(AI$2)&lt;=N($D9)),AI$2,"")</f>
        <v/>
      </c>
      <c r="AJ9" s="25">
        <f>IF(AND(ISNUMBER($D9),N(AJ$2)&gt;=N($G$2),N(AJ$2)&lt;=N($D9)),AJ$2,"")</f>
        <v/>
      </c>
      <c r="AK9" s="25">
        <f>IF(AND(ISNUMBER($D9),N(AK$2)&gt;=N($G$2),N(AK$2)&lt;=N($D9)),AK$2,"")</f>
        <v/>
      </c>
      <c r="AL9" s="25">
        <f>IF(AND(ISNUMBER($D9),N(AL$2)&gt;=N($G$2),N(AL$2)&lt;=N($D9)),AL$2,"")</f>
        <v/>
      </c>
      <c r="AM9" s="25">
        <f>IF(AND(ISNUMBER($D9),N(AM$2)&gt;=N($G$2),N(AM$2)&lt;=N($D9)),AM$2,"")</f>
        <v/>
      </c>
      <c r="AN9" s="25">
        <f>IF(AND(ISNUMBER($D9),N(AN$2)&gt;=N($G$2),N(AN$2)&lt;=N($D9)),AN$2,"")</f>
        <v/>
      </c>
      <c r="AO9" s="25">
        <f>IF(AND(ISNUMBER($D9),N(AO$2)&gt;=N($G$2),N(AO$2)&lt;=N($D9)),AO$2,"")</f>
        <v/>
      </c>
      <c r="AP9" s="25">
        <f>IF(AND(ISNUMBER($D9),N(AP$2)&gt;=N($G$2),N(AP$2)&lt;=N($D9)),AP$2,"")</f>
        <v/>
      </c>
      <c r="AQ9" s="25">
        <f>IF(AND(ISNUMBER($D9),N(AQ$2)&gt;=N($G$2),N(AQ$2)&lt;=N($D9)),AQ$2,"")</f>
        <v/>
      </c>
      <c r="AR9" s="25">
        <f>IF(AND(ISNUMBER($D9),N(AR$2)&gt;=N($G$2),N(AR$2)&lt;=N($D9)),AR$2,"")</f>
        <v/>
      </c>
      <c r="AS9" s="25">
        <f>IF(AND(ISNUMBER($D9),N(AS$2)&gt;=N($G$2),N(AS$2)&lt;=N($D9)),AS$2,"")</f>
        <v/>
      </c>
      <c r="AT9" s="25">
        <f>IF(AND(ISNUMBER($D9),N(AT$2)&gt;=N($G$2),N(AT$2)&lt;=N($D9)),AT$2,"")</f>
        <v/>
      </c>
      <c r="AU9" s="25">
        <f>IF(AND(ISNUMBER($D9),N(AU$2)&gt;=N($G$2),N(AU$2)&lt;=N($D9)),AU$2,"")</f>
        <v/>
      </c>
      <c r="AV9" s="25">
        <f>IF(AND(ISNUMBER($D9),N(AV$2)&gt;=N($G$2),N(AV$2)&lt;=N($D9)),AV$2,"")</f>
        <v/>
      </c>
      <c r="AW9" s="25">
        <f>IF(AND(ISNUMBER($D9),N(AW$2)&gt;=N($G$2),N(AW$2)&lt;=N($D9)),AW$2,"")</f>
        <v/>
      </c>
      <c r="AX9" s="25">
        <f>IF(AND(ISNUMBER($D9),N(AX$2)&gt;=N($G$2),N(AX$2)&lt;=N($D9)),AX$2,"")</f>
        <v/>
      </c>
      <c r="AY9" s="25">
        <f>IF(AND(ISNUMBER($D9),N(AY$2)&gt;=N($G$2),N(AY$2)&lt;=N($D9)),AY$2,"")</f>
        <v/>
      </c>
      <c r="AZ9" s="25">
        <f>IF(AND(ISNUMBER($D9),N(AZ$2)&gt;=N($G$2),N(AZ$2)&lt;=N($D9)),AZ$2,"")</f>
        <v/>
      </c>
      <c r="BA9" s="25">
        <f>IF(AND(ISNUMBER($D9),N(BA$2)&gt;=N($G$2),N(BA$2)&lt;=N($D9)),BA$2,"")</f>
        <v/>
      </c>
      <c r="BB9" s="25">
        <f>IF(AND(ISNUMBER($D9),N(BB$2)&gt;=N($G$2),N(BB$2)&lt;=N($D9)),BB$2,"")</f>
        <v/>
      </c>
      <c r="BC9" s="25">
        <f>IF(AND(ISNUMBER($D9),N(BC$2)&gt;=N($G$2),N(BC$2)&lt;=N($D9)),BC$2,"")</f>
        <v/>
      </c>
      <c r="BD9" s="25">
        <f>IF(AND(ISNUMBER($D9),N(BD$2)&gt;=N($G$2),N(BD$2)&lt;=N($D9)),BD$2,"")</f>
        <v/>
      </c>
      <c r="BE9" s="25">
        <f>IF(AND(ISNUMBER($D9),N(BE$2)&gt;=N($G$2),N(BE$2)&lt;=N($D9)),BE$2,"")</f>
        <v/>
      </c>
      <c r="BF9" s="25">
        <f>IF(AND(ISNUMBER($D9),N(BF$2)&gt;=N($G$2),N(BF$2)&lt;=N($D9)),BF$2,"")</f>
        <v/>
      </c>
      <c r="BG9" s="25">
        <f>IF(AND(ISNUMBER($D9),N(BG$2)&gt;=N($G$2),N(BG$2)&lt;=N($D9)),BG$2,"")</f>
        <v/>
      </c>
      <c r="BH9" s="25">
        <f>IF(AND(ISNUMBER($D9),N(BH$2)&gt;=N($G$2),N(BH$2)&lt;=N($D9)),BH$2,"")</f>
        <v/>
      </c>
      <c r="BI9" s="25">
        <f>IF(AND(ISNUMBER($D9),N(BI$2)&gt;=N($G$2),N(BI$2)&lt;=N($D9)),BI$2,"")</f>
        <v/>
      </c>
      <c r="BJ9" s="25">
        <f>IF(AND(ISNUMBER($D9),N(BJ$2)&gt;=N($G$2),N(BJ$2)&lt;=N($D9)),BJ$2,"")</f>
        <v/>
      </c>
      <c r="BK9" s="25">
        <f>IF(AND(ISNUMBER($D9),N(BK$2)&gt;=N($G$2),N(BK$2)&lt;=N($D9)),BK$2,"")</f>
        <v/>
      </c>
      <c r="BL9" s="25">
        <f>IF(AND(ISNUMBER($D9),N(BL$2)&gt;=N($G$2),N(BL$2)&lt;=N($D9)),BL$2,"")</f>
        <v/>
      </c>
      <c r="BM9" s="25">
        <f>IF(AND(ISNUMBER($D9),N(BM$2)&gt;=N($G$2),N(BM$2)&lt;=N($D9)),BM$2,"")</f>
        <v/>
      </c>
      <c r="BN9" s="25">
        <f>IF(AND(ISNUMBER($D9),N(BN$2)&gt;=N($G$2),N(BN$2)&lt;=N($D9)),BN$2,"")</f>
        <v/>
      </c>
      <c r="BO9" s="25">
        <f>IF(AND(ISNUMBER($D9),N(BO$2)&gt;=N($G$2),N(BO$2)&lt;=N($D9)),BO$2,"")</f>
        <v/>
      </c>
    </row>
    <row r="10" ht="20" customHeight="1">
      <c r="A10" s="26" t="inlineStr">
        <is>
          <t>实际</t>
        </is>
      </c>
      <c r="B10" s="26" t="inlineStr">
        <is>
          <t>第一期</t>
        </is>
      </c>
      <c r="C10" s="27" t="inlineStr">
        <is>
          <t>装配线布局完成</t>
        </is>
      </c>
      <c r="D10" s="28">
        <f>'时间节点计划表'!E5</f>
        <v/>
      </c>
      <c r="E10" s="28">
        <f>IF(COUNT('时间节点计划表'!F5),'时间节点计划表'!F5,"")</f>
        <v/>
      </c>
      <c r="F10" s="29">
        <f>IF(OR(D10="",E10=""),"待填",E10-D10)</f>
        <v/>
      </c>
      <c r="G10" s="25">
        <f>IF(AND(ISNUMBER($E10),N(G$2)&gt;=N($G$2),N(G$2)&lt;=N($E10)),G$2,"")</f>
        <v/>
      </c>
      <c r="H10" s="25">
        <f>IF(AND(ISNUMBER($E10),N(H$2)&gt;=N($G$2),N(H$2)&lt;=N($E10)),H$2,"")</f>
        <v/>
      </c>
      <c r="I10" s="25">
        <f>IF(AND(ISNUMBER($E10),N(I$2)&gt;=N($G$2),N(I$2)&lt;=N($E10)),I$2,"")</f>
        <v/>
      </c>
      <c r="J10" s="25">
        <f>IF(AND(ISNUMBER($E10),N(J$2)&gt;=N($G$2),N(J$2)&lt;=N($E10)),J$2,"")</f>
        <v/>
      </c>
      <c r="K10" s="25">
        <f>IF(AND(ISNUMBER($E10),N(K$2)&gt;=N($G$2),N(K$2)&lt;=N($E10)),K$2,"")</f>
        <v/>
      </c>
      <c r="L10" s="25">
        <f>IF(AND(ISNUMBER($E10),N(L$2)&gt;=N($G$2),N(L$2)&lt;=N($E10)),L$2,"")</f>
        <v/>
      </c>
      <c r="M10" s="25">
        <f>IF(AND(ISNUMBER($E10),N(M$2)&gt;=N($G$2),N(M$2)&lt;=N($E10)),M$2,"")</f>
        <v/>
      </c>
      <c r="N10" s="25">
        <f>IF(AND(ISNUMBER($E10),N(N$2)&gt;=N($G$2),N(N$2)&lt;=N($E10)),N$2,"")</f>
        <v/>
      </c>
      <c r="O10" s="25">
        <f>IF(AND(ISNUMBER($E10),N(O$2)&gt;=N($G$2),N(O$2)&lt;=N($E10)),O$2,"")</f>
        <v/>
      </c>
      <c r="P10" s="25">
        <f>IF(AND(ISNUMBER($E10),N(P$2)&gt;=N($G$2),N(P$2)&lt;=N($E10)),P$2,"")</f>
        <v/>
      </c>
      <c r="Q10" s="25">
        <f>IF(AND(ISNUMBER($E10),N(Q$2)&gt;=N($G$2),N(Q$2)&lt;=N($E10)),Q$2,"")</f>
        <v/>
      </c>
      <c r="R10" s="25">
        <f>IF(AND(ISNUMBER($E10),N(R$2)&gt;=N($G$2),N(R$2)&lt;=N($E10)),R$2,"")</f>
        <v/>
      </c>
      <c r="S10" s="25">
        <f>IF(AND(ISNUMBER($E10),N(S$2)&gt;=N($G$2),N(S$2)&lt;=N($E10)),S$2,"")</f>
        <v/>
      </c>
      <c r="T10" s="25">
        <f>IF(AND(ISNUMBER($E10),N(T$2)&gt;=N($G$2),N(T$2)&lt;=N($E10)),T$2,"")</f>
        <v/>
      </c>
      <c r="U10" s="25">
        <f>IF(AND(ISNUMBER($E10),N(U$2)&gt;=N($G$2),N(U$2)&lt;=N($E10)),U$2,"")</f>
        <v/>
      </c>
      <c r="V10" s="25">
        <f>IF(AND(ISNUMBER($E10),N(V$2)&gt;=N($G$2),N(V$2)&lt;=N($E10)),V$2,"")</f>
        <v/>
      </c>
      <c r="W10" s="25">
        <f>IF(AND(ISNUMBER($E10),N(W$2)&gt;=N($G$2),N(W$2)&lt;=N($E10)),W$2,"")</f>
        <v/>
      </c>
      <c r="X10" s="25">
        <f>IF(AND(ISNUMBER($E10),N(X$2)&gt;=N($G$2),N(X$2)&lt;=N($E10)),X$2,"")</f>
        <v/>
      </c>
      <c r="Y10" s="25">
        <f>IF(AND(ISNUMBER($E10),N(Y$2)&gt;=N($G$2),N(Y$2)&lt;=N($E10)),Y$2,"")</f>
        <v/>
      </c>
      <c r="Z10" s="25">
        <f>IF(AND(ISNUMBER($E10),N(Z$2)&gt;=N($G$2),N(Z$2)&lt;=N($E10)),Z$2,"")</f>
        <v/>
      </c>
      <c r="AA10" s="25">
        <f>IF(AND(ISNUMBER($E10),N(AA$2)&gt;=N($G$2),N(AA$2)&lt;=N($E10)),AA$2,"")</f>
        <v/>
      </c>
      <c r="AB10" s="25">
        <f>IF(AND(ISNUMBER($E10),N(AB$2)&gt;=N($G$2),N(AB$2)&lt;=N($E10)),AB$2,"")</f>
        <v/>
      </c>
      <c r="AC10" s="25">
        <f>IF(AND(ISNUMBER($E10),N(AC$2)&gt;=N($G$2),N(AC$2)&lt;=N($E10)),AC$2,"")</f>
        <v/>
      </c>
      <c r="AD10" s="25">
        <f>IF(AND(ISNUMBER($E10),N(AD$2)&gt;=N($G$2),N(AD$2)&lt;=N($E10)),AD$2,"")</f>
        <v/>
      </c>
      <c r="AE10" s="25">
        <f>IF(AND(ISNUMBER($E10),N(AE$2)&gt;=N($G$2),N(AE$2)&lt;=N($E10)),AE$2,"")</f>
        <v/>
      </c>
      <c r="AF10" s="25">
        <f>IF(AND(ISNUMBER($E10),N(AF$2)&gt;=N($G$2),N(AF$2)&lt;=N($E10)),AF$2,"")</f>
        <v/>
      </c>
      <c r="AG10" s="25">
        <f>IF(AND(ISNUMBER($E10),N(AG$2)&gt;=N($G$2),N(AG$2)&lt;=N($E10)),AG$2,"")</f>
        <v/>
      </c>
      <c r="AH10" s="25">
        <f>IF(AND(ISNUMBER($E10),N(AH$2)&gt;=N($G$2),N(AH$2)&lt;=N($E10)),AH$2,"")</f>
        <v/>
      </c>
      <c r="AI10" s="25">
        <f>IF(AND(ISNUMBER($E10),N(AI$2)&gt;=N($G$2),N(AI$2)&lt;=N($E10)),AI$2,"")</f>
        <v/>
      </c>
      <c r="AJ10" s="25">
        <f>IF(AND(ISNUMBER($E10),N(AJ$2)&gt;=N($G$2),N(AJ$2)&lt;=N($E10)),AJ$2,"")</f>
        <v/>
      </c>
      <c r="AK10" s="25">
        <f>IF(AND(ISNUMBER($E10),N(AK$2)&gt;=N($G$2),N(AK$2)&lt;=N($E10)),AK$2,"")</f>
        <v/>
      </c>
      <c r="AL10" s="25">
        <f>IF(AND(ISNUMBER($E10),N(AL$2)&gt;=N($G$2),N(AL$2)&lt;=N($E10)),AL$2,"")</f>
        <v/>
      </c>
      <c r="AM10" s="25">
        <f>IF(AND(ISNUMBER($E10),N(AM$2)&gt;=N($G$2),N(AM$2)&lt;=N($E10)),AM$2,"")</f>
        <v/>
      </c>
      <c r="AN10" s="25">
        <f>IF(AND(ISNUMBER($E10),N(AN$2)&gt;=N($G$2),N(AN$2)&lt;=N($E10)),AN$2,"")</f>
        <v/>
      </c>
      <c r="AO10" s="25">
        <f>IF(AND(ISNUMBER($E10),N(AO$2)&gt;=N($G$2),N(AO$2)&lt;=N($E10)),AO$2,"")</f>
        <v/>
      </c>
      <c r="AP10" s="25">
        <f>IF(AND(ISNUMBER($E10),N(AP$2)&gt;=N($G$2),N(AP$2)&lt;=N($E10)),AP$2,"")</f>
        <v/>
      </c>
      <c r="AQ10" s="25">
        <f>IF(AND(ISNUMBER($E10),N(AQ$2)&gt;=N($G$2),N(AQ$2)&lt;=N($E10)),AQ$2,"")</f>
        <v/>
      </c>
      <c r="AR10" s="25">
        <f>IF(AND(ISNUMBER($E10),N(AR$2)&gt;=N($G$2),N(AR$2)&lt;=N($E10)),AR$2,"")</f>
        <v/>
      </c>
      <c r="AS10" s="25">
        <f>IF(AND(ISNUMBER($E10),N(AS$2)&gt;=N($G$2),N(AS$2)&lt;=N($E10)),AS$2,"")</f>
        <v/>
      </c>
      <c r="AT10" s="25">
        <f>IF(AND(ISNUMBER($E10),N(AT$2)&gt;=N($G$2),N(AT$2)&lt;=N($E10)),AT$2,"")</f>
        <v/>
      </c>
      <c r="AU10" s="25">
        <f>IF(AND(ISNUMBER($E10),N(AU$2)&gt;=N($G$2),N(AU$2)&lt;=N($E10)),AU$2,"")</f>
        <v/>
      </c>
      <c r="AV10" s="25">
        <f>IF(AND(ISNUMBER($E10),N(AV$2)&gt;=N($G$2),N(AV$2)&lt;=N($E10)),AV$2,"")</f>
        <v/>
      </c>
      <c r="AW10" s="25">
        <f>IF(AND(ISNUMBER($E10),N(AW$2)&gt;=N($G$2),N(AW$2)&lt;=N($E10)),AW$2,"")</f>
        <v/>
      </c>
      <c r="AX10" s="25">
        <f>IF(AND(ISNUMBER($E10),N(AX$2)&gt;=N($G$2),N(AX$2)&lt;=N($E10)),AX$2,"")</f>
        <v/>
      </c>
      <c r="AY10" s="25">
        <f>IF(AND(ISNUMBER($E10),N(AY$2)&gt;=N($G$2),N(AY$2)&lt;=N($E10)),AY$2,"")</f>
        <v/>
      </c>
      <c r="AZ10" s="25">
        <f>IF(AND(ISNUMBER($E10),N(AZ$2)&gt;=N($G$2),N(AZ$2)&lt;=N($E10)),AZ$2,"")</f>
        <v/>
      </c>
      <c r="BA10" s="25">
        <f>IF(AND(ISNUMBER($E10),N(BA$2)&gt;=N($G$2),N(BA$2)&lt;=N($E10)),BA$2,"")</f>
        <v/>
      </c>
      <c r="BB10" s="25">
        <f>IF(AND(ISNUMBER($E10),N(BB$2)&gt;=N($G$2),N(BB$2)&lt;=N($E10)),BB$2,"")</f>
        <v/>
      </c>
      <c r="BC10" s="25">
        <f>IF(AND(ISNUMBER($E10),N(BC$2)&gt;=N($G$2),N(BC$2)&lt;=N($E10)),BC$2,"")</f>
        <v/>
      </c>
      <c r="BD10" s="25">
        <f>IF(AND(ISNUMBER($E10),N(BD$2)&gt;=N($G$2),N(BD$2)&lt;=N($E10)),BD$2,"")</f>
        <v/>
      </c>
      <c r="BE10" s="25">
        <f>IF(AND(ISNUMBER($E10),N(BE$2)&gt;=N($G$2),N(BE$2)&lt;=N($E10)),BE$2,"")</f>
        <v/>
      </c>
      <c r="BF10" s="25">
        <f>IF(AND(ISNUMBER($E10),N(BF$2)&gt;=N($G$2),N(BF$2)&lt;=N($E10)),BF$2,"")</f>
        <v/>
      </c>
      <c r="BG10" s="25">
        <f>IF(AND(ISNUMBER($E10),N(BG$2)&gt;=N($G$2),N(BG$2)&lt;=N($E10)),BG$2,"")</f>
        <v/>
      </c>
      <c r="BH10" s="25">
        <f>IF(AND(ISNUMBER($E10),N(BH$2)&gt;=N($G$2),N(BH$2)&lt;=N($E10)),BH$2,"")</f>
        <v/>
      </c>
      <c r="BI10" s="25">
        <f>IF(AND(ISNUMBER($E10),N(BI$2)&gt;=N($G$2),N(BI$2)&lt;=N($E10)),BI$2,"")</f>
        <v/>
      </c>
      <c r="BJ10" s="25">
        <f>IF(AND(ISNUMBER($E10),N(BJ$2)&gt;=N($G$2),N(BJ$2)&lt;=N($E10)),BJ$2,"")</f>
        <v/>
      </c>
      <c r="BK10" s="25">
        <f>IF(AND(ISNUMBER($E10),N(BK$2)&gt;=N($G$2),N(BK$2)&lt;=N($E10)),BK$2,"")</f>
        <v/>
      </c>
      <c r="BL10" s="25">
        <f>IF(AND(ISNUMBER($E10),N(BL$2)&gt;=N($G$2),N(BL$2)&lt;=N($E10)),BL$2,"")</f>
        <v/>
      </c>
      <c r="BM10" s="25">
        <f>IF(AND(ISNUMBER($E10),N(BM$2)&gt;=N($G$2),N(BM$2)&lt;=N($E10)),BM$2,"")</f>
        <v/>
      </c>
      <c r="BN10" s="25">
        <f>IF(AND(ISNUMBER($E10),N(BN$2)&gt;=N($G$2),N(BN$2)&lt;=N($E10)),BN$2,"")</f>
        <v/>
      </c>
      <c r="BO10" s="25">
        <f>IF(AND(ISNUMBER($E10),N(BO$2)&gt;=N($G$2),N(BO$2)&lt;=N($E10)),BO$2,"")</f>
        <v/>
      </c>
    </row>
    <row r="11" ht="20" customHeight="1">
      <c r="A11" s="21" t="inlineStr">
        <is>
          <t>预估</t>
        </is>
      </c>
      <c r="B11" s="21" t="inlineStr">
        <is>
          <t>第一期</t>
        </is>
      </c>
      <c r="C11" s="22" t="inlineStr">
        <is>
          <t>装配工具到位</t>
        </is>
      </c>
      <c r="D11" s="23">
        <f>'时间节点计划表'!E6</f>
        <v/>
      </c>
      <c r="E11" s="23">
        <f>IF(COUNT('时间节点计划表'!F6),'时间节点计划表'!F6,"")</f>
        <v/>
      </c>
      <c r="F11" s="24" t="inlineStr"/>
      <c r="G11" s="25">
        <f>IF(AND(ISNUMBER($D11),N(G$2)&gt;=N($G$2),N(G$2)&lt;=N($D11)),G$2,"")</f>
        <v/>
      </c>
      <c r="H11" s="25">
        <f>IF(AND(ISNUMBER($D11),N(H$2)&gt;=N($G$2),N(H$2)&lt;=N($D11)),H$2,"")</f>
        <v/>
      </c>
      <c r="I11" s="25">
        <f>IF(AND(ISNUMBER($D11),N(I$2)&gt;=N($G$2),N(I$2)&lt;=N($D11)),I$2,"")</f>
        <v/>
      </c>
      <c r="J11" s="25">
        <f>IF(AND(ISNUMBER($D11),N(J$2)&gt;=N($G$2),N(J$2)&lt;=N($D11)),J$2,"")</f>
        <v/>
      </c>
      <c r="K11" s="25">
        <f>IF(AND(ISNUMBER($D11),N(K$2)&gt;=N($G$2),N(K$2)&lt;=N($D11)),K$2,"")</f>
        <v/>
      </c>
      <c r="L11" s="25">
        <f>IF(AND(ISNUMBER($D11),N(L$2)&gt;=N($G$2),N(L$2)&lt;=N($D11)),L$2,"")</f>
        <v/>
      </c>
      <c r="M11" s="25">
        <f>IF(AND(ISNUMBER($D11),N(M$2)&gt;=N($G$2),N(M$2)&lt;=N($D11)),M$2,"")</f>
        <v/>
      </c>
      <c r="N11" s="25">
        <f>IF(AND(ISNUMBER($D11),N(N$2)&gt;=N($G$2),N(N$2)&lt;=N($D11)),N$2,"")</f>
        <v/>
      </c>
      <c r="O11" s="25">
        <f>IF(AND(ISNUMBER($D11),N(O$2)&gt;=N($G$2),N(O$2)&lt;=N($D11)),O$2,"")</f>
        <v/>
      </c>
      <c r="P11" s="25">
        <f>IF(AND(ISNUMBER($D11),N(P$2)&gt;=N($G$2),N(P$2)&lt;=N($D11)),P$2,"")</f>
        <v/>
      </c>
      <c r="Q11" s="25">
        <f>IF(AND(ISNUMBER($D11),N(Q$2)&gt;=N($G$2),N(Q$2)&lt;=N($D11)),Q$2,"")</f>
        <v/>
      </c>
      <c r="R11" s="25">
        <f>IF(AND(ISNUMBER($D11),N(R$2)&gt;=N($G$2),N(R$2)&lt;=N($D11)),R$2,"")</f>
        <v/>
      </c>
      <c r="S11" s="25">
        <f>IF(AND(ISNUMBER($D11),N(S$2)&gt;=N($G$2),N(S$2)&lt;=N($D11)),S$2,"")</f>
        <v/>
      </c>
      <c r="T11" s="25">
        <f>IF(AND(ISNUMBER($D11),N(T$2)&gt;=N($G$2),N(T$2)&lt;=N($D11)),T$2,"")</f>
        <v/>
      </c>
      <c r="U11" s="25">
        <f>IF(AND(ISNUMBER($D11),N(U$2)&gt;=N($G$2),N(U$2)&lt;=N($D11)),U$2,"")</f>
        <v/>
      </c>
      <c r="V11" s="25">
        <f>IF(AND(ISNUMBER($D11),N(V$2)&gt;=N($G$2),N(V$2)&lt;=N($D11)),V$2,"")</f>
        <v/>
      </c>
      <c r="W11" s="25">
        <f>IF(AND(ISNUMBER($D11),N(W$2)&gt;=N($G$2),N(W$2)&lt;=N($D11)),W$2,"")</f>
        <v/>
      </c>
      <c r="X11" s="25">
        <f>IF(AND(ISNUMBER($D11),N(X$2)&gt;=N($G$2),N(X$2)&lt;=N($D11)),X$2,"")</f>
        <v/>
      </c>
      <c r="Y11" s="25">
        <f>IF(AND(ISNUMBER($D11),N(Y$2)&gt;=N($G$2),N(Y$2)&lt;=N($D11)),Y$2,"")</f>
        <v/>
      </c>
      <c r="Z11" s="25">
        <f>IF(AND(ISNUMBER($D11),N(Z$2)&gt;=N($G$2),N(Z$2)&lt;=N($D11)),Z$2,"")</f>
        <v/>
      </c>
      <c r="AA11" s="25">
        <f>IF(AND(ISNUMBER($D11),N(AA$2)&gt;=N($G$2),N(AA$2)&lt;=N($D11)),AA$2,"")</f>
        <v/>
      </c>
      <c r="AB11" s="25">
        <f>IF(AND(ISNUMBER($D11),N(AB$2)&gt;=N($G$2),N(AB$2)&lt;=N($D11)),AB$2,"")</f>
        <v/>
      </c>
      <c r="AC11" s="25">
        <f>IF(AND(ISNUMBER($D11),N(AC$2)&gt;=N($G$2),N(AC$2)&lt;=N($D11)),AC$2,"")</f>
        <v/>
      </c>
      <c r="AD11" s="25">
        <f>IF(AND(ISNUMBER($D11),N(AD$2)&gt;=N($G$2),N(AD$2)&lt;=N($D11)),AD$2,"")</f>
        <v/>
      </c>
      <c r="AE11" s="25">
        <f>IF(AND(ISNUMBER($D11),N(AE$2)&gt;=N($G$2),N(AE$2)&lt;=N($D11)),AE$2,"")</f>
        <v/>
      </c>
      <c r="AF11" s="25">
        <f>IF(AND(ISNUMBER($D11),N(AF$2)&gt;=N($G$2),N(AF$2)&lt;=N($D11)),AF$2,"")</f>
        <v/>
      </c>
      <c r="AG11" s="25">
        <f>IF(AND(ISNUMBER($D11),N(AG$2)&gt;=N($G$2),N(AG$2)&lt;=N($D11)),AG$2,"")</f>
        <v/>
      </c>
      <c r="AH11" s="25">
        <f>IF(AND(ISNUMBER($D11),N(AH$2)&gt;=N($G$2),N(AH$2)&lt;=N($D11)),AH$2,"")</f>
        <v/>
      </c>
      <c r="AI11" s="25">
        <f>IF(AND(ISNUMBER($D11),N(AI$2)&gt;=N($G$2),N(AI$2)&lt;=N($D11)),AI$2,"")</f>
        <v/>
      </c>
      <c r="AJ11" s="25">
        <f>IF(AND(ISNUMBER($D11),N(AJ$2)&gt;=N($G$2),N(AJ$2)&lt;=N($D11)),AJ$2,"")</f>
        <v/>
      </c>
      <c r="AK11" s="25">
        <f>IF(AND(ISNUMBER($D11),N(AK$2)&gt;=N($G$2),N(AK$2)&lt;=N($D11)),AK$2,"")</f>
        <v/>
      </c>
      <c r="AL11" s="25">
        <f>IF(AND(ISNUMBER($D11),N(AL$2)&gt;=N($G$2),N(AL$2)&lt;=N($D11)),AL$2,"")</f>
        <v/>
      </c>
      <c r="AM11" s="25">
        <f>IF(AND(ISNUMBER($D11),N(AM$2)&gt;=N($G$2),N(AM$2)&lt;=N($D11)),AM$2,"")</f>
        <v/>
      </c>
      <c r="AN11" s="25">
        <f>IF(AND(ISNUMBER($D11),N(AN$2)&gt;=N($G$2),N(AN$2)&lt;=N($D11)),AN$2,"")</f>
        <v/>
      </c>
      <c r="AO11" s="25">
        <f>IF(AND(ISNUMBER($D11),N(AO$2)&gt;=N($G$2),N(AO$2)&lt;=N($D11)),AO$2,"")</f>
        <v/>
      </c>
      <c r="AP11" s="25">
        <f>IF(AND(ISNUMBER($D11),N(AP$2)&gt;=N($G$2),N(AP$2)&lt;=N($D11)),AP$2,"")</f>
        <v/>
      </c>
      <c r="AQ11" s="25">
        <f>IF(AND(ISNUMBER($D11),N(AQ$2)&gt;=N($G$2),N(AQ$2)&lt;=N($D11)),AQ$2,"")</f>
        <v/>
      </c>
      <c r="AR11" s="25">
        <f>IF(AND(ISNUMBER($D11),N(AR$2)&gt;=N($G$2),N(AR$2)&lt;=N($D11)),AR$2,"")</f>
        <v/>
      </c>
      <c r="AS11" s="25">
        <f>IF(AND(ISNUMBER($D11),N(AS$2)&gt;=N($G$2),N(AS$2)&lt;=N($D11)),AS$2,"")</f>
        <v/>
      </c>
      <c r="AT11" s="25">
        <f>IF(AND(ISNUMBER($D11),N(AT$2)&gt;=N($G$2),N(AT$2)&lt;=N($D11)),AT$2,"")</f>
        <v/>
      </c>
      <c r="AU11" s="25">
        <f>IF(AND(ISNUMBER($D11),N(AU$2)&gt;=N($G$2),N(AU$2)&lt;=N($D11)),AU$2,"")</f>
        <v/>
      </c>
      <c r="AV11" s="25">
        <f>IF(AND(ISNUMBER($D11),N(AV$2)&gt;=N($G$2),N(AV$2)&lt;=N($D11)),AV$2,"")</f>
        <v/>
      </c>
      <c r="AW11" s="25">
        <f>IF(AND(ISNUMBER($D11),N(AW$2)&gt;=N($G$2),N(AW$2)&lt;=N($D11)),AW$2,"")</f>
        <v/>
      </c>
      <c r="AX11" s="25">
        <f>IF(AND(ISNUMBER($D11),N(AX$2)&gt;=N($G$2),N(AX$2)&lt;=N($D11)),AX$2,"")</f>
        <v/>
      </c>
      <c r="AY11" s="25">
        <f>IF(AND(ISNUMBER($D11),N(AY$2)&gt;=N($G$2),N(AY$2)&lt;=N($D11)),AY$2,"")</f>
        <v/>
      </c>
      <c r="AZ11" s="25">
        <f>IF(AND(ISNUMBER($D11),N(AZ$2)&gt;=N($G$2),N(AZ$2)&lt;=N($D11)),AZ$2,"")</f>
        <v/>
      </c>
      <c r="BA11" s="25">
        <f>IF(AND(ISNUMBER($D11),N(BA$2)&gt;=N($G$2),N(BA$2)&lt;=N($D11)),BA$2,"")</f>
        <v/>
      </c>
      <c r="BB11" s="25">
        <f>IF(AND(ISNUMBER($D11),N(BB$2)&gt;=N($G$2),N(BB$2)&lt;=N($D11)),BB$2,"")</f>
        <v/>
      </c>
      <c r="BC11" s="25">
        <f>IF(AND(ISNUMBER($D11),N(BC$2)&gt;=N($G$2),N(BC$2)&lt;=N($D11)),BC$2,"")</f>
        <v/>
      </c>
      <c r="BD11" s="25">
        <f>IF(AND(ISNUMBER($D11),N(BD$2)&gt;=N($G$2),N(BD$2)&lt;=N($D11)),BD$2,"")</f>
        <v/>
      </c>
      <c r="BE11" s="25">
        <f>IF(AND(ISNUMBER($D11),N(BE$2)&gt;=N($G$2),N(BE$2)&lt;=N($D11)),BE$2,"")</f>
        <v/>
      </c>
      <c r="BF11" s="25">
        <f>IF(AND(ISNUMBER($D11),N(BF$2)&gt;=N($G$2),N(BF$2)&lt;=N($D11)),BF$2,"")</f>
        <v/>
      </c>
      <c r="BG11" s="25">
        <f>IF(AND(ISNUMBER($D11),N(BG$2)&gt;=N($G$2),N(BG$2)&lt;=N($D11)),BG$2,"")</f>
        <v/>
      </c>
      <c r="BH11" s="25">
        <f>IF(AND(ISNUMBER($D11),N(BH$2)&gt;=N($G$2),N(BH$2)&lt;=N($D11)),BH$2,"")</f>
        <v/>
      </c>
      <c r="BI11" s="25">
        <f>IF(AND(ISNUMBER($D11),N(BI$2)&gt;=N($G$2),N(BI$2)&lt;=N($D11)),BI$2,"")</f>
        <v/>
      </c>
      <c r="BJ11" s="25">
        <f>IF(AND(ISNUMBER($D11),N(BJ$2)&gt;=N($G$2),N(BJ$2)&lt;=N($D11)),BJ$2,"")</f>
        <v/>
      </c>
      <c r="BK11" s="25">
        <f>IF(AND(ISNUMBER($D11),N(BK$2)&gt;=N($G$2),N(BK$2)&lt;=N($D11)),BK$2,"")</f>
        <v/>
      </c>
      <c r="BL11" s="25">
        <f>IF(AND(ISNUMBER($D11),N(BL$2)&gt;=N($G$2),N(BL$2)&lt;=N($D11)),BL$2,"")</f>
        <v/>
      </c>
      <c r="BM11" s="25">
        <f>IF(AND(ISNUMBER($D11),N(BM$2)&gt;=N($G$2),N(BM$2)&lt;=N($D11)),BM$2,"")</f>
        <v/>
      </c>
      <c r="BN11" s="25">
        <f>IF(AND(ISNUMBER($D11),N(BN$2)&gt;=N($G$2),N(BN$2)&lt;=N($D11)),BN$2,"")</f>
        <v/>
      </c>
      <c r="BO11" s="25">
        <f>IF(AND(ISNUMBER($D11),N(BO$2)&gt;=N($G$2),N(BO$2)&lt;=N($D11)),BO$2,"")</f>
        <v/>
      </c>
    </row>
    <row r="12" ht="20" customHeight="1">
      <c r="A12" s="26" t="inlineStr">
        <is>
          <t>实际</t>
        </is>
      </c>
      <c r="B12" s="26" t="inlineStr">
        <is>
          <t>第一期</t>
        </is>
      </c>
      <c r="C12" s="27" t="inlineStr">
        <is>
          <t>装配工具到位</t>
        </is>
      </c>
      <c r="D12" s="28">
        <f>'时间节点计划表'!E6</f>
        <v/>
      </c>
      <c r="E12" s="28">
        <f>IF(COUNT('时间节点计划表'!F6),'时间节点计划表'!F6,"")</f>
        <v/>
      </c>
      <c r="F12" s="29">
        <f>IF(OR(D12="",E12=""),"待填",E12-D12)</f>
        <v/>
      </c>
      <c r="G12" s="25">
        <f>IF(AND(ISNUMBER($E12),N(G$2)&gt;=N($G$2),N(G$2)&lt;=N($E12)),G$2,"")</f>
        <v/>
      </c>
      <c r="H12" s="25">
        <f>IF(AND(ISNUMBER($E12),N(H$2)&gt;=N($G$2),N(H$2)&lt;=N($E12)),H$2,"")</f>
        <v/>
      </c>
      <c r="I12" s="25">
        <f>IF(AND(ISNUMBER($E12),N(I$2)&gt;=N($G$2),N(I$2)&lt;=N($E12)),I$2,"")</f>
        <v/>
      </c>
      <c r="J12" s="25">
        <f>IF(AND(ISNUMBER($E12),N(J$2)&gt;=N($G$2),N(J$2)&lt;=N($E12)),J$2,"")</f>
        <v/>
      </c>
      <c r="K12" s="25">
        <f>IF(AND(ISNUMBER($E12),N(K$2)&gt;=N($G$2),N(K$2)&lt;=N($E12)),K$2,"")</f>
        <v/>
      </c>
      <c r="L12" s="25">
        <f>IF(AND(ISNUMBER($E12),N(L$2)&gt;=N($G$2),N(L$2)&lt;=N($E12)),L$2,"")</f>
        <v/>
      </c>
      <c r="M12" s="25">
        <f>IF(AND(ISNUMBER($E12),N(M$2)&gt;=N($G$2),N(M$2)&lt;=N($E12)),M$2,"")</f>
        <v/>
      </c>
      <c r="N12" s="25">
        <f>IF(AND(ISNUMBER($E12),N(N$2)&gt;=N($G$2),N(N$2)&lt;=N($E12)),N$2,"")</f>
        <v/>
      </c>
      <c r="O12" s="25">
        <f>IF(AND(ISNUMBER($E12),N(O$2)&gt;=N($G$2),N(O$2)&lt;=N($E12)),O$2,"")</f>
        <v/>
      </c>
      <c r="P12" s="25">
        <f>IF(AND(ISNUMBER($E12),N(P$2)&gt;=N($G$2),N(P$2)&lt;=N($E12)),P$2,"")</f>
        <v/>
      </c>
      <c r="Q12" s="25">
        <f>IF(AND(ISNUMBER($E12),N(Q$2)&gt;=N($G$2),N(Q$2)&lt;=N($E12)),Q$2,"")</f>
        <v/>
      </c>
      <c r="R12" s="25">
        <f>IF(AND(ISNUMBER($E12),N(R$2)&gt;=N($G$2),N(R$2)&lt;=N($E12)),R$2,"")</f>
        <v/>
      </c>
      <c r="S12" s="25">
        <f>IF(AND(ISNUMBER($E12),N(S$2)&gt;=N($G$2),N(S$2)&lt;=N($E12)),S$2,"")</f>
        <v/>
      </c>
      <c r="T12" s="25">
        <f>IF(AND(ISNUMBER($E12),N(T$2)&gt;=N($G$2),N(T$2)&lt;=N($E12)),T$2,"")</f>
        <v/>
      </c>
      <c r="U12" s="25">
        <f>IF(AND(ISNUMBER($E12),N(U$2)&gt;=N($G$2),N(U$2)&lt;=N($E12)),U$2,"")</f>
        <v/>
      </c>
      <c r="V12" s="25">
        <f>IF(AND(ISNUMBER($E12),N(V$2)&gt;=N($G$2),N(V$2)&lt;=N($E12)),V$2,"")</f>
        <v/>
      </c>
      <c r="W12" s="25">
        <f>IF(AND(ISNUMBER($E12),N(W$2)&gt;=N($G$2),N(W$2)&lt;=N($E12)),W$2,"")</f>
        <v/>
      </c>
      <c r="X12" s="25">
        <f>IF(AND(ISNUMBER($E12),N(X$2)&gt;=N($G$2),N(X$2)&lt;=N($E12)),X$2,"")</f>
        <v/>
      </c>
      <c r="Y12" s="25">
        <f>IF(AND(ISNUMBER($E12),N(Y$2)&gt;=N($G$2),N(Y$2)&lt;=N($E12)),Y$2,"")</f>
        <v/>
      </c>
      <c r="Z12" s="25">
        <f>IF(AND(ISNUMBER($E12),N(Z$2)&gt;=N($G$2),N(Z$2)&lt;=N($E12)),Z$2,"")</f>
        <v/>
      </c>
      <c r="AA12" s="25">
        <f>IF(AND(ISNUMBER($E12),N(AA$2)&gt;=N($G$2),N(AA$2)&lt;=N($E12)),AA$2,"")</f>
        <v/>
      </c>
      <c r="AB12" s="25">
        <f>IF(AND(ISNUMBER($E12),N(AB$2)&gt;=N($G$2),N(AB$2)&lt;=N($E12)),AB$2,"")</f>
        <v/>
      </c>
      <c r="AC12" s="25">
        <f>IF(AND(ISNUMBER($E12),N(AC$2)&gt;=N($G$2),N(AC$2)&lt;=N($E12)),AC$2,"")</f>
        <v/>
      </c>
      <c r="AD12" s="25">
        <f>IF(AND(ISNUMBER($E12),N(AD$2)&gt;=N($G$2),N(AD$2)&lt;=N($E12)),AD$2,"")</f>
        <v/>
      </c>
      <c r="AE12" s="25">
        <f>IF(AND(ISNUMBER($E12),N(AE$2)&gt;=N($G$2),N(AE$2)&lt;=N($E12)),AE$2,"")</f>
        <v/>
      </c>
      <c r="AF12" s="25">
        <f>IF(AND(ISNUMBER($E12),N(AF$2)&gt;=N($G$2),N(AF$2)&lt;=N($E12)),AF$2,"")</f>
        <v/>
      </c>
      <c r="AG12" s="25">
        <f>IF(AND(ISNUMBER($E12),N(AG$2)&gt;=N($G$2),N(AG$2)&lt;=N($E12)),AG$2,"")</f>
        <v/>
      </c>
      <c r="AH12" s="25">
        <f>IF(AND(ISNUMBER($E12),N(AH$2)&gt;=N($G$2),N(AH$2)&lt;=N($E12)),AH$2,"")</f>
        <v/>
      </c>
      <c r="AI12" s="25">
        <f>IF(AND(ISNUMBER($E12),N(AI$2)&gt;=N($G$2),N(AI$2)&lt;=N($E12)),AI$2,"")</f>
        <v/>
      </c>
      <c r="AJ12" s="25">
        <f>IF(AND(ISNUMBER($E12),N(AJ$2)&gt;=N($G$2),N(AJ$2)&lt;=N($E12)),AJ$2,"")</f>
        <v/>
      </c>
      <c r="AK12" s="25">
        <f>IF(AND(ISNUMBER($E12),N(AK$2)&gt;=N($G$2),N(AK$2)&lt;=N($E12)),AK$2,"")</f>
        <v/>
      </c>
      <c r="AL12" s="25">
        <f>IF(AND(ISNUMBER($E12),N(AL$2)&gt;=N($G$2),N(AL$2)&lt;=N($E12)),AL$2,"")</f>
        <v/>
      </c>
      <c r="AM12" s="25">
        <f>IF(AND(ISNUMBER($E12),N(AM$2)&gt;=N($G$2),N(AM$2)&lt;=N($E12)),AM$2,"")</f>
        <v/>
      </c>
      <c r="AN12" s="25">
        <f>IF(AND(ISNUMBER($E12),N(AN$2)&gt;=N($G$2),N(AN$2)&lt;=N($E12)),AN$2,"")</f>
        <v/>
      </c>
      <c r="AO12" s="25">
        <f>IF(AND(ISNUMBER($E12),N(AO$2)&gt;=N($G$2),N(AO$2)&lt;=N($E12)),AO$2,"")</f>
        <v/>
      </c>
      <c r="AP12" s="25">
        <f>IF(AND(ISNUMBER($E12),N(AP$2)&gt;=N($G$2),N(AP$2)&lt;=N($E12)),AP$2,"")</f>
        <v/>
      </c>
      <c r="AQ12" s="25">
        <f>IF(AND(ISNUMBER($E12),N(AQ$2)&gt;=N($G$2),N(AQ$2)&lt;=N($E12)),AQ$2,"")</f>
        <v/>
      </c>
      <c r="AR12" s="25">
        <f>IF(AND(ISNUMBER($E12),N(AR$2)&gt;=N($G$2),N(AR$2)&lt;=N($E12)),AR$2,"")</f>
        <v/>
      </c>
      <c r="AS12" s="25">
        <f>IF(AND(ISNUMBER($E12),N(AS$2)&gt;=N($G$2),N(AS$2)&lt;=N($E12)),AS$2,"")</f>
        <v/>
      </c>
      <c r="AT12" s="25">
        <f>IF(AND(ISNUMBER($E12),N(AT$2)&gt;=N($G$2),N(AT$2)&lt;=N($E12)),AT$2,"")</f>
        <v/>
      </c>
      <c r="AU12" s="25">
        <f>IF(AND(ISNUMBER($E12),N(AU$2)&gt;=N($G$2),N(AU$2)&lt;=N($E12)),AU$2,"")</f>
        <v/>
      </c>
      <c r="AV12" s="25">
        <f>IF(AND(ISNUMBER($E12),N(AV$2)&gt;=N($G$2),N(AV$2)&lt;=N($E12)),AV$2,"")</f>
        <v/>
      </c>
      <c r="AW12" s="25">
        <f>IF(AND(ISNUMBER($E12),N(AW$2)&gt;=N($G$2),N(AW$2)&lt;=N($E12)),AW$2,"")</f>
        <v/>
      </c>
      <c r="AX12" s="25">
        <f>IF(AND(ISNUMBER($E12),N(AX$2)&gt;=N($G$2),N(AX$2)&lt;=N($E12)),AX$2,"")</f>
        <v/>
      </c>
      <c r="AY12" s="25">
        <f>IF(AND(ISNUMBER($E12),N(AY$2)&gt;=N($G$2),N(AY$2)&lt;=N($E12)),AY$2,"")</f>
        <v/>
      </c>
      <c r="AZ12" s="25">
        <f>IF(AND(ISNUMBER($E12),N(AZ$2)&gt;=N($G$2),N(AZ$2)&lt;=N($E12)),AZ$2,"")</f>
        <v/>
      </c>
      <c r="BA12" s="25">
        <f>IF(AND(ISNUMBER($E12),N(BA$2)&gt;=N($G$2),N(BA$2)&lt;=N($E12)),BA$2,"")</f>
        <v/>
      </c>
      <c r="BB12" s="25">
        <f>IF(AND(ISNUMBER($E12),N(BB$2)&gt;=N($G$2),N(BB$2)&lt;=N($E12)),BB$2,"")</f>
        <v/>
      </c>
      <c r="BC12" s="25">
        <f>IF(AND(ISNUMBER($E12),N(BC$2)&gt;=N($G$2),N(BC$2)&lt;=N($E12)),BC$2,"")</f>
        <v/>
      </c>
      <c r="BD12" s="25">
        <f>IF(AND(ISNUMBER($E12),N(BD$2)&gt;=N($G$2),N(BD$2)&lt;=N($E12)),BD$2,"")</f>
        <v/>
      </c>
      <c r="BE12" s="25">
        <f>IF(AND(ISNUMBER($E12),N(BE$2)&gt;=N($G$2),N(BE$2)&lt;=N($E12)),BE$2,"")</f>
        <v/>
      </c>
      <c r="BF12" s="25">
        <f>IF(AND(ISNUMBER($E12),N(BF$2)&gt;=N($G$2),N(BF$2)&lt;=N($E12)),BF$2,"")</f>
        <v/>
      </c>
      <c r="BG12" s="25">
        <f>IF(AND(ISNUMBER($E12),N(BG$2)&gt;=N($G$2),N(BG$2)&lt;=N($E12)),BG$2,"")</f>
        <v/>
      </c>
      <c r="BH12" s="25">
        <f>IF(AND(ISNUMBER($E12),N(BH$2)&gt;=N($G$2),N(BH$2)&lt;=N($E12)),BH$2,"")</f>
        <v/>
      </c>
      <c r="BI12" s="25">
        <f>IF(AND(ISNUMBER($E12),N(BI$2)&gt;=N($G$2),N(BI$2)&lt;=N($E12)),BI$2,"")</f>
        <v/>
      </c>
      <c r="BJ12" s="25">
        <f>IF(AND(ISNUMBER($E12),N(BJ$2)&gt;=N($G$2),N(BJ$2)&lt;=N($E12)),BJ$2,"")</f>
        <v/>
      </c>
      <c r="BK12" s="25">
        <f>IF(AND(ISNUMBER($E12),N(BK$2)&gt;=N($G$2),N(BK$2)&lt;=N($E12)),BK$2,"")</f>
        <v/>
      </c>
      <c r="BL12" s="25">
        <f>IF(AND(ISNUMBER($E12),N(BL$2)&gt;=N($G$2),N(BL$2)&lt;=N($E12)),BL$2,"")</f>
        <v/>
      </c>
      <c r="BM12" s="25">
        <f>IF(AND(ISNUMBER($E12),N(BM$2)&gt;=N($G$2),N(BM$2)&lt;=N($E12)),BM$2,"")</f>
        <v/>
      </c>
      <c r="BN12" s="25">
        <f>IF(AND(ISNUMBER($E12),N(BN$2)&gt;=N($G$2),N(BN$2)&lt;=N($E12)),BN$2,"")</f>
        <v/>
      </c>
      <c r="BO12" s="25">
        <f>IF(AND(ISNUMBER($E12),N(BO$2)&gt;=N($G$2),N(BO$2)&lt;=N($E12)),BO$2,"")</f>
        <v/>
      </c>
    </row>
    <row r="13" ht="20" customHeight="1">
      <c r="A13" s="21" t="inlineStr">
        <is>
          <t>预估</t>
        </is>
      </c>
      <c r="B13" s="21" t="inlineStr">
        <is>
          <t>第一期</t>
        </is>
      </c>
      <c r="C13" s="22" t="inlineStr">
        <is>
          <t>PAB060·零件到位</t>
        </is>
      </c>
      <c r="D13" s="23">
        <f>'时间节点计划表'!E7</f>
        <v/>
      </c>
      <c r="E13" s="23">
        <f>IF(COUNT('时间节点计划表'!F7),'时间节点计划表'!F7,"")</f>
        <v/>
      </c>
      <c r="F13" s="24" t="inlineStr"/>
      <c r="G13" s="25">
        <f>IF(AND(ISNUMBER($D13),N(G$2)&gt;=N($G$2),N(G$2)&lt;=N($D13)),G$2,"")</f>
        <v/>
      </c>
      <c r="H13" s="25">
        <f>IF(AND(ISNUMBER($D13),N(H$2)&gt;=N($G$2),N(H$2)&lt;=N($D13)),H$2,"")</f>
        <v/>
      </c>
      <c r="I13" s="25">
        <f>IF(AND(ISNUMBER($D13),N(I$2)&gt;=N($G$2),N(I$2)&lt;=N($D13)),I$2,"")</f>
        <v/>
      </c>
      <c r="J13" s="25">
        <f>IF(AND(ISNUMBER($D13),N(J$2)&gt;=N($G$2),N(J$2)&lt;=N($D13)),J$2,"")</f>
        <v/>
      </c>
      <c r="K13" s="25">
        <f>IF(AND(ISNUMBER($D13),N(K$2)&gt;=N($G$2),N(K$2)&lt;=N($D13)),K$2,"")</f>
        <v/>
      </c>
      <c r="L13" s="25">
        <f>IF(AND(ISNUMBER($D13),N(L$2)&gt;=N($G$2),N(L$2)&lt;=N($D13)),L$2,"")</f>
        <v/>
      </c>
      <c r="M13" s="25">
        <f>IF(AND(ISNUMBER($D13),N(M$2)&gt;=N($G$2),N(M$2)&lt;=N($D13)),M$2,"")</f>
        <v/>
      </c>
      <c r="N13" s="25">
        <f>IF(AND(ISNUMBER($D13),N(N$2)&gt;=N($G$2),N(N$2)&lt;=N($D13)),N$2,"")</f>
        <v/>
      </c>
      <c r="O13" s="25">
        <f>IF(AND(ISNUMBER($D13),N(O$2)&gt;=N($G$2),N(O$2)&lt;=N($D13)),O$2,"")</f>
        <v/>
      </c>
      <c r="P13" s="25">
        <f>IF(AND(ISNUMBER($D13),N(P$2)&gt;=N($G$2),N(P$2)&lt;=N($D13)),P$2,"")</f>
        <v/>
      </c>
      <c r="Q13" s="25">
        <f>IF(AND(ISNUMBER($D13),N(Q$2)&gt;=N($G$2),N(Q$2)&lt;=N($D13)),Q$2,"")</f>
        <v/>
      </c>
      <c r="R13" s="25">
        <f>IF(AND(ISNUMBER($D13),N(R$2)&gt;=N($G$2),N(R$2)&lt;=N($D13)),R$2,"")</f>
        <v/>
      </c>
      <c r="S13" s="25">
        <f>IF(AND(ISNUMBER($D13),N(S$2)&gt;=N($G$2),N(S$2)&lt;=N($D13)),S$2,"")</f>
        <v/>
      </c>
      <c r="T13" s="25">
        <f>IF(AND(ISNUMBER($D13),N(T$2)&gt;=N($G$2),N(T$2)&lt;=N($D13)),T$2,"")</f>
        <v/>
      </c>
      <c r="U13" s="25">
        <f>IF(AND(ISNUMBER($D13),N(U$2)&gt;=N($G$2),N(U$2)&lt;=N($D13)),U$2,"")</f>
        <v/>
      </c>
      <c r="V13" s="25">
        <f>IF(AND(ISNUMBER($D13),N(V$2)&gt;=N($G$2),N(V$2)&lt;=N($D13)),V$2,"")</f>
        <v/>
      </c>
      <c r="W13" s="25">
        <f>IF(AND(ISNUMBER($D13),N(W$2)&gt;=N($G$2),N(W$2)&lt;=N($D13)),W$2,"")</f>
        <v/>
      </c>
      <c r="X13" s="25">
        <f>IF(AND(ISNUMBER($D13),N(X$2)&gt;=N($G$2),N(X$2)&lt;=N($D13)),X$2,"")</f>
        <v/>
      </c>
      <c r="Y13" s="25">
        <f>IF(AND(ISNUMBER($D13),N(Y$2)&gt;=N($G$2),N(Y$2)&lt;=N($D13)),Y$2,"")</f>
        <v/>
      </c>
      <c r="Z13" s="25">
        <f>IF(AND(ISNUMBER($D13),N(Z$2)&gt;=N($G$2),N(Z$2)&lt;=N($D13)),Z$2,"")</f>
        <v/>
      </c>
      <c r="AA13" s="25">
        <f>IF(AND(ISNUMBER($D13),N(AA$2)&gt;=N($G$2),N(AA$2)&lt;=N($D13)),AA$2,"")</f>
        <v/>
      </c>
      <c r="AB13" s="25">
        <f>IF(AND(ISNUMBER($D13),N(AB$2)&gt;=N($G$2),N(AB$2)&lt;=N($D13)),AB$2,"")</f>
        <v/>
      </c>
      <c r="AC13" s="25">
        <f>IF(AND(ISNUMBER($D13),N(AC$2)&gt;=N($G$2),N(AC$2)&lt;=N($D13)),AC$2,"")</f>
        <v/>
      </c>
      <c r="AD13" s="25">
        <f>IF(AND(ISNUMBER($D13),N(AD$2)&gt;=N($G$2),N(AD$2)&lt;=N($D13)),AD$2,"")</f>
        <v/>
      </c>
      <c r="AE13" s="25">
        <f>IF(AND(ISNUMBER($D13),N(AE$2)&gt;=N($G$2),N(AE$2)&lt;=N($D13)),AE$2,"")</f>
        <v/>
      </c>
      <c r="AF13" s="25">
        <f>IF(AND(ISNUMBER($D13),N(AF$2)&gt;=N($G$2),N(AF$2)&lt;=N($D13)),AF$2,"")</f>
        <v/>
      </c>
      <c r="AG13" s="25">
        <f>IF(AND(ISNUMBER($D13),N(AG$2)&gt;=N($G$2),N(AG$2)&lt;=N($D13)),AG$2,"")</f>
        <v/>
      </c>
      <c r="AH13" s="25">
        <f>IF(AND(ISNUMBER($D13),N(AH$2)&gt;=N($G$2),N(AH$2)&lt;=N($D13)),AH$2,"")</f>
        <v/>
      </c>
      <c r="AI13" s="25">
        <f>IF(AND(ISNUMBER($D13),N(AI$2)&gt;=N($G$2),N(AI$2)&lt;=N($D13)),AI$2,"")</f>
        <v/>
      </c>
      <c r="AJ13" s="25">
        <f>IF(AND(ISNUMBER($D13),N(AJ$2)&gt;=N($G$2),N(AJ$2)&lt;=N($D13)),AJ$2,"")</f>
        <v/>
      </c>
      <c r="AK13" s="25">
        <f>IF(AND(ISNUMBER($D13),N(AK$2)&gt;=N($G$2),N(AK$2)&lt;=N($D13)),AK$2,"")</f>
        <v/>
      </c>
      <c r="AL13" s="25">
        <f>IF(AND(ISNUMBER($D13),N(AL$2)&gt;=N($G$2),N(AL$2)&lt;=N($D13)),AL$2,"")</f>
        <v/>
      </c>
      <c r="AM13" s="25">
        <f>IF(AND(ISNUMBER($D13),N(AM$2)&gt;=N($G$2),N(AM$2)&lt;=N($D13)),AM$2,"")</f>
        <v/>
      </c>
      <c r="AN13" s="25">
        <f>IF(AND(ISNUMBER($D13),N(AN$2)&gt;=N($G$2),N(AN$2)&lt;=N($D13)),AN$2,"")</f>
        <v/>
      </c>
      <c r="AO13" s="25">
        <f>IF(AND(ISNUMBER($D13),N(AO$2)&gt;=N($G$2),N(AO$2)&lt;=N($D13)),AO$2,"")</f>
        <v/>
      </c>
      <c r="AP13" s="25">
        <f>IF(AND(ISNUMBER($D13),N(AP$2)&gt;=N($G$2),N(AP$2)&lt;=N($D13)),AP$2,"")</f>
        <v/>
      </c>
      <c r="AQ13" s="25">
        <f>IF(AND(ISNUMBER($D13),N(AQ$2)&gt;=N($G$2),N(AQ$2)&lt;=N($D13)),AQ$2,"")</f>
        <v/>
      </c>
      <c r="AR13" s="25">
        <f>IF(AND(ISNUMBER($D13),N(AR$2)&gt;=N($G$2),N(AR$2)&lt;=N($D13)),AR$2,"")</f>
        <v/>
      </c>
      <c r="AS13" s="25">
        <f>IF(AND(ISNUMBER($D13),N(AS$2)&gt;=N($G$2),N(AS$2)&lt;=N($D13)),AS$2,"")</f>
        <v/>
      </c>
      <c r="AT13" s="25">
        <f>IF(AND(ISNUMBER($D13),N(AT$2)&gt;=N($G$2),N(AT$2)&lt;=N($D13)),AT$2,"")</f>
        <v/>
      </c>
      <c r="AU13" s="25">
        <f>IF(AND(ISNUMBER($D13),N(AU$2)&gt;=N($G$2),N(AU$2)&lt;=N($D13)),AU$2,"")</f>
        <v/>
      </c>
      <c r="AV13" s="25">
        <f>IF(AND(ISNUMBER($D13),N(AV$2)&gt;=N($G$2),N(AV$2)&lt;=N($D13)),AV$2,"")</f>
        <v/>
      </c>
      <c r="AW13" s="25">
        <f>IF(AND(ISNUMBER($D13),N(AW$2)&gt;=N($G$2),N(AW$2)&lt;=N($D13)),AW$2,"")</f>
        <v/>
      </c>
      <c r="AX13" s="25">
        <f>IF(AND(ISNUMBER($D13),N(AX$2)&gt;=N($G$2),N(AX$2)&lt;=N($D13)),AX$2,"")</f>
        <v/>
      </c>
      <c r="AY13" s="25">
        <f>IF(AND(ISNUMBER($D13),N(AY$2)&gt;=N($G$2),N(AY$2)&lt;=N($D13)),AY$2,"")</f>
        <v/>
      </c>
      <c r="AZ13" s="25">
        <f>IF(AND(ISNUMBER($D13),N(AZ$2)&gt;=N($G$2),N(AZ$2)&lt;=N($D13)),AZ$2,"")</f>
        <v/>
      </c>
      <c r="BA13" s="25">
        <f>IF(AND(ISNUMBER($D13),N(BA$2)&gt;=N($G$2),N(BA$2)&lt;=N($D13)),BA$2,"")</f>
        <v/>
      </c>
      <c r="BB13" s="25">
        <f>IF(AND(ISNUMBER($D13),N(BB$2)&gt;=N($G$2),N(BB$2)&lt;=N($D13)),BB$2,"")</f>
        <v/>
      </c>
      <c r="BC13" s="25">
        <f>IF(AND(ISNUMBER($D13),N(BC$2)&gt;=N($G$2),N(BC$2)&lt;=N($D13)),BC$2,"")</f>
        <v/>
      </c>
      <c r="BD13" s="25">
        <f>IF(AND(ISNUMBER($D13),N(BD$2)&gt;=N($G$2),N(BD$2)&lt;=N($D13)),BD$2,"")</f>
        <v/>
      </c>
      <c r="BE13" s="25">
        <f>IF(AND(ISNUMBER($D13),N(BE$2)&gt;=N($G$2),N(BE$2)&lt;=N($D13)),BE$2,"")</f>
        <v/>
      </c>
      <c r="BF13" s="25">
        <f>IF(AND(ISNUMBER($D13),N(BF$2)&gt;=N($G$2),N(BF$2)&lt;=N($D13)),BF$2,"")</f>
        <v/>
      </c>
      <c r="BG13" s="25">
        <f>IF(AND(ISNUMBER($D13),N(BG$2)&gt;=N($G$2),N(BG$2)&lt;=N($D13)),BG$2,"")</f>
        <v/>
      </c>
      <c r="BH13" s="25">
        <f>IF(AND(ISNUMBER($D13),N(BH$2)&gt;=N($G$2),N(BH$2)&lt;=N($D13)),BH$2,"")</f>
        <v/>
      </c>
      <c r="BI13" s="25">
        <f>IF(AND(ISNUMBER($D13),N(BI$2)&gt;=N($G$2),N(BI$2)&lt;=N($D13)),BI$2,"")</f>
        <v/>
      </c>
      <c r="BJ13" s="25">
        <f>IF(AND(ISNUMBER($D13),N(BJ$2)&gt;=N($G$2),N(BJ$2)&lt;=N($D13)),BJ$2,"")</f>
        <v/>
      </c>
      <c r="BK13" s="25">
        <f>IF(AND(ISNUMBER($D13),N(BK$2)&gt;=N($G$2),N(BK$2)&lt;=N($D13)),BK$2,"")</f>
        <v/>
      </c>
      <c r="BL13" s="25">
        <f>IF(AND(ISNUMBER($D13),N(BL$2)&gt;=N($G$2),N(BL$2)&lt;=N($D13)),BL$2,"")</f>
        <v/>
      </c>
      <c r="BM13" s="25">
        <f>IF(AND(ISNUMBER($D13),N(BM$2)&gt;=N($G$2),N(BM$2)&lt;=N($D13)),BM$2,"")</f>
        <v/>
      </c>
      <c r="BN13" s="25">
        <f>IF(AND(ISNUMBER($D13),N(BN$2)&gt;=N($G$2),N(BN$2)&lt;=N($D13)),BN$2,"")</f>
        <v/>
      </c>
      <c r="BO13" s="25">
        <f>IF(AND(ISNUMBER($D13),N(BO$2)&gt;=N($G$2),N(BO$2)&lt;=N($D13)),BO$2,"")</f>
        <v/>
      </c>
    </row>
    <row r="14" ht="20" customHeight="1">
      <c r="A14" s="26" t="inlineStr">
        <is>
          <t>实际</t>
        </is>
      </c>
      <c r="B14" s="26" t="inlineStr">
        <is>
          <t>第一期</t>
        </is>
      </c>
      <c r="C14" s="27" t="inlineStr">
        <is>
          <t>PAB060·零件到位</t>
        </is>
      </c>
      <c r="D14" s="28">
        <f>'时间节点计划表'!E7</f>
        <v/>
      </c>
      <c r="E14" s="28">
        <f>IF(COUNT('时间节点计划表'!F7),'时间节点计划表'!F7,"")</f>
        <v/>
      </c>
      <c r="F14" s="29">
        <f>IF(OR(D14="",E14=""),"待填",E14-D14)</f>
        <v/>
      </c>
      <c r="G14" s="25">
        <f>IF(AND(ISNUMBER($E14),N(G$2)&gt;=N($G$2),N(G$2)&lt;=N($E14)),G$2,"")</f>
        <v/>
      </c>
      <c r="H14" s="25">
        <f>IF(AND(ISNUMBER($E14),N(H$2)&gt;=N($G$2),N(H$2)&lt;=N($E14)),H$2,"")</f>
        <v/>
      </c>
      <c r="I14" s="25">
        <f>IF(AND(ISNUMBER($E14),N(I$2)&gt;=N($G$2),N(I$2)&lt;=N($E14)),I$2,"")</f>
        <v/>
      </c>
      <c r="J14" s="25">
        <f>IF(AND(ISNUMBER($E14),N(J$2)&gt;=N($G$2),N(J$2)&lt;=N($E14)),J$2,"")</f>
        <v/>
      </c>
      <c r="K14" s="25">
        <f>IF(AND(ISNUMBER($E14),N(K$2)&gt;=N($G$2),N(K$2)&lt;=N($E14)),K$2,"")</f>
        <v/>
      </c>
      <c r="L14" s="25">
        <f>IF(AND(ISNUMBER($E14),N(L$2)&gt;=N($G$2),N(L$2)&lt;=N($E14)),L$2,"")</f>
        <v/>
      </c>
      <c r="M14" s="25">
        <f>IF(AND(ISNUMBER($E14),N(M$2)&gt;=N($G$2),N(M$2)&lt;=N($E14)),M$2,"")</f>
        <v/>
      </c>
      <c r="N14" s="25">
        <f>IF(AND(ISNUMBER($E14),N(N$2)&gt;=N($G$2),N(N$2)&lt;=N($E14)),N$2,"")</f>
        <v/>
      </c>
      <c r="O14" s="25">
        <f>IF(AND(ISNUMBER($E14),N(O$2)&gt;=N($G$2),N(O$2)&lt;=N($E14)),O$2,"")</f>
        <v/>
      </c>
      <c r="P14" s="25">
        <f>IF(AND(ISNUMBER($E14),N(P$2)&gt;=N($G$2),N(P$2)&lt;=N($E14)),P$2,"")</f>
        <v/>
      </c>
      <c r="Q14" s="25">
        <f>IF(AND(ISNUMBER($E14),N(Q$2)&gt;=N($G$2),N(Q$2)&lt;=N($E14)),Q$2,"")</f>
        <v/>
      </c>
      <c r="R14" s="25">
        <f>IF(AND(ISNUMBER($E14),N(R$2)&gt;=N($G$2),N(R$2)&lt;=N($E14)),R$2,"")</f>
        <v/>
      </c>
      <c r="S14" s="25">
        <f>IF(AND(ISNUMBER($E14),N(S$2)&gt;=N($G$2),N(S$2)&lt;=N($E14)),S$2,"")</f>
        <v/>
      </c>
      <c r="T14" s="25">
        <f>IF(AND(ISNUMBER($E14),N(T$2)&gt;=N($G$2),N(T$2)&lt;=N($E14)),T$2,"")</f>
        <v/>
      </c>
      <c r="U14" s="25">
        <f>IF(AND(ISNUMBER($E14),N(U$2)&gt;=N($G$2),N(U$2)&lt;=N($E14)),U$2,"")</f>
        <v/>
      </c>
      <c r="V14" s="25">
        <f>IF(AND(ISNUMBER($E14),N(V$2)&gt;=N($G$2),N(V$2)&lt;=N($E14)),V$2,"")</f>
        <v/>
      </c>
      <c r="W14" s="25">
        <f>IF(AND(ISNUMBER($E14),N(W$2)&gt;=N($G$2),N(W$2)&lt;=N($E14)),W$2,"")</f>
        <v/>
      </c>
      <c r="X14" s="25">
        <f>IF(AND(ISNUMBER($E14),N(X$2)&gt;=N($G$2),N(X$2)&lt;=N($E14)),X$2,"")</f>
        <v/>
      </c>
      <c r="Y14" s="25">
        <f>IF(AND(ISNUMBER($E14),N(Y$2)&gt;=N($G$2),N(Y$2)&lt;=N($E14)),Y$2,"")</f>
        <v/>
      </c>
      <c r="Z14" s="25">
        <f>IF(AND(ISNUMBER($E14),N(Z$2)&gt;=N($G$2),N(Z$2)&lt;=N($E14)),Z$2,"")</f>
        <v/>
      </c>
      <c r="AA14" s="25">
        <f>IF(AND(ISNUMBER($E14),N(AA$2)&gt;=N($G$2),N(AA$2)&lt;=N($E14)),AA$2,"")</f>
        <v/>
      </c>
      <c r="AB14" s="25">
        <f>IF(AND(ISNUMBER($E14),N(AB$2)&gt;=N($G$2),N(AB$2)&lt;=N($E14)),AB$2,"")</f>
        <v/>
      </c>
      <c r="AC14" s="25">
        <f>IF(AND(ISNUMBER($E14),N(AC$2)&gt;=N($G$2),N(AC$2)&lt;=N($E14)),AC$2,"")</f>
        <v/>
      </c>
      <c r="AD14" s="25">
        <f>IF(AND(ISNUMBER($E14),N(AD$2)&gt;=N($G$2),N(AD$2)&lt;=N($E14)),AD$2,"")</f>
        <v/>
      </c>
      <c r="AE14" s="25">
        <f>IF(AND(ISNUMBER($E14),N(AE$2)&gt;=N($G$2),N(AE$2)&lt;=N($E14)),AE$2,"")</f>
        <v/>
      </c>
      <c r="AF14" s="25">
        <f>IF(AND(ISNUMBER($E14),N(AF$2)&gt;=N($G$2),N(AF$2)&lt;=N($E14)),AF$2,"")</f>
        <v/>
      </c>
      <c r="AG14" s="25">
        <f>IF(AND(ISNUMBER($E14),N(AG$2)&gt;=N($G$2),N(AG$2)&lt;=N($E14)),AG$2,"")</f>
        <v/>
      </c>
      <c r="AH14" s="25">
        <f>IF(AND(ISNUMBER($E14),N(AH$2)&gt;=N($G$2),N(AH$2)&lt;=N($E14)),AH$2,"")</f>
        <v/>
      </c>
      <c r="AI14" s="25">
        <f>IF(AND(ISNUMBER($E14),N(AI$2)&gt;=N($G$2),N(AI$2)&lt;=N($E14)),AI$2,"")</f>
        <v/>
      </c>
      <c r="AJ14" s="25">
        <f>IF(AND(ISNUMBER($E14),N(AJ$2)&gt;=N($G$2),N(AJ$2)&lt;=N($E14)),AJ$2,"")</f>
        <v/>
      </c>
      <c r="AK14" s="25">
        <f>IF(AND(ISNUMBER($E14),N(AK$2)&gt;=N($G$2),N(AK$2)&lt;=N($E14)),AK$2,"")</f>
        <v/>
      </c>
      <c r="AL14" s="25">
        <f>IF(AND(ISNUMBER($E14),N(AL$2)&gt;=N($G$2),N(AL$2)&lt;=N($E14)),AL$2,"")</f>
        <v/>
      </c>
      <c r="AM14" s="25">
        <f>IF(AND(ISNUMBER($E14),N(AM$2)&gt;=N($G$2),N(AM$2)&lt;=N($E14)),AM$2,"")</f>
        <v/>
      </c>
      <c r="AN14" s="25">
        <f>IF(AND(ISNUMBER($E14),N(AN$2)&gt;=N($G$2),N(AN$2)&lt;=N($E14)),AN$2,"")</f>
        <v/>
      </c>
      <c r="AO14" s="25">
        <f>IF(AND(ISNUMBER($E14),N(AO$2)&gt;=N($G$2),N(AO$2)&lt;=N($E14)),AO$2,"")</f>
        <v/>
      </c>
      <c r="AP14" s="25">
        <f>IF(AND(ISNUMBER($E14),N(AP$2)&gt;=N($G$2),N(AP$2)&lt;=N($E14)),AP$2,"")</f>
        <v/>
      </c>
      <c r="AQ14" s="25">
        <f>IF(AND(ISNUMBER($E14),N(AQ$2)&gt;=N($G$2),N(AQ$2)&lt;=N($E14)),AQ$2,"")</f>
        <v/>
      </c>
      <c r="AR14" s="25">
        <f>IF(AND(ISNUMBER($E14),N(AR$2)&gt;=N($G$2),N(AR$2)&lt;=N($E14)),AR$2,"")</f>
        <v/>
      </c>
      <c r="AS14" s="25">
        <f>IF(AND(ISNUMBER($E14),N(AS$2)&gt;=N($G$2),N(AS$2)&lt;=N($E14)),AS$2,"")</f>
        <v/>
      </c>
      <c r="AT14" s="25">
        <f>IF(AND(ISNUMBER($E14),N(AT$2)&gt;=N($G$2),N(AT$2)&lt;=N($E14)),AT$2,"")</f>
        <v/>
      </c>
      <c r="AU14" s="25">
        <f>IF(AND(ISNUMBER($E14),N(AU$2)&gt;=N($G$2),N(AU$2)&lt;=N($E14)),AU$2,"")</f>
        <v/>
      </c>
      <c r="AV14" s="25">
        <f>IF(AND(ISNUMBER($E14),N(AV$2)&gt;=N($G$2),N(AV$2)&lt;=N($E14)),AV$2,"")</f>
        <v/>
      </c>
      <c r="AW14" s="25">
        <f>IF(AND(ISNUMBER($E14),N(AW$2)&gt;=N($G$2),N(AW$2)&lt;=N($E14)),AW$2,"")</f>
        <v/>
      </c>
      <c r="AX14" s="25">
        <f>IF(AND(ISNUMBER($E14),N(AX$2)&gt;=N($G$2),N(AX$2)&lt;=N($E14)),AX$2,"")</f>
        <v/>
      </c>
      <c r="AY14" s="25">
        <f>IF(AND(ISNUMBER($E14),N(AY$2)&gt;=N($G$2),N(AY$2)&lt;=N($E14)),AY$2,"")</f>
        <v/>
      </c>
      <c r="AZ14" s="25">
        <f>IF(AND(ISNUMBER($E14),N(AZ$2)&gt;=N($G$2),N(AZ$2)&lt;=N($E14)),AZ$2,"")</f>
        <v/>
      </c>
      <c r="BA14" s="25">
        <f>IF(AND(ISNUMBER($E14),N(BA$2)&gt;=N($G$2),N(BA$2)&lt;=N($E14)),BA$2,"")</f>
        <v/>
      </c>
      <c r="BB14" s="25">
        <f>IF(AND(ISNUMBER($E14),N(BB$2)&gt;=N($G$2),N(BB$2)&lt;=N($E14)),BB$2,"")</f>
        <v/>
      </c>
      <c r="BC14" s="25">
        <f>IF(AND(ISNUMBER($E14),N(BC$2)&gt;=N($G$2),N(BC$2)&lt;=N($E14)),BC$2,"")</f>
        <v/>
      </c>
      <c r="BD14" s="25">
        <f>IF(AND(ISNUMBER($E14),N(BD$2)&gt;=N($G$2),N(BD$2)&lt;=N($E14)),BD$2,"")</f>
        <v/>
      </c>
      <c r="BE14" s="25">
        <f>IF(AND(ISNUMBER($E14),N(BE$2)&gt;=N($G$2),N(BE$2)&lt;=N($E14)),BE$2,"")</f>
        <v/>
      </c>
      <c r="BF14" s="25">
        <f>IF(AND(ISNUMBER($E14),N(BF$2)&gt;=N($G$2),N(BF$2)&lt;=N($E14)),BF$2,"")</f>
        <v/>
      </c>
      <c r="BG14" s="25">
        <f>IF(AND(ISNUMBER($E14),N(BG$2)&gt;=N($G$2),N(BG$2)&lt;=N($E14)),BG$2,"")</f>
        <v/>
      </c>
      <c r="BH14" s="25">
        <f>IF(AND(ISNUMBER($E14),N(BH$2)&gt;=N($G$2),N(BH$2)&lt;=N($E14)),BH$2,"")</f>
        <v/>
      </c>
      <c r="BI14" s="25">
        <f>IF(AND(ISNUMBER($E14),N(BI$2)&gt;=N($G$2),N(BI$2)&lt;=N($E14)),BI$2,"")</f>
        <v/>
      </c>
      <c r="BJ14" s="25">
        <f>IF(AND(ISNUMBER($E14),N(BJ$2)&gt;=N($G$2),N(BJ$2)&lt;=N($E14)),BJ$2,"")</f>
        <v/>
      </c>
      <c r="BK14" s="25">
        <f>IF(AND(ISNUMBER($E14),N(BK$2)&gt;=N($G$2),N(BK$2)&lt;=N($E14)),BK$2,"")</f>
        <v/>
      </c>
      <c r="BL14" s="25">
        <f>IF(AND(ISNUMBER($E14),N(BL$2)&gt;=N($G$2),N(BL$2)&lt;=N($E14)),BL$2,"")</f>
        <v/>
      </c>
      <c r="BM14" s="25">
        <f>IF(AND(ISNUMBER($E14),N(BM$2)&gt;=N($G$2),N(BM$2)&lt;=N($E14)),BM$2,"")</f>
        <v/>
      </c>
      <c r="BN14" s="25">
        <f>IF(AND(ISNUMBER($E14),N(BN$2)&gt;=N($G$2),N(BN$2)&lt;=N($E14)),BN$2,"")</f>
        <v/>
      </c>
      <c r="BO14" s="25">
        <f>IF(AND(ISNUMBER($E14),N(BO$2)&gt;=N($G$2),N(BO$2)&lt;=N($E14)),BO$2,"")</f>
        <v/>
      </c>
    </row>
    <row r="15" ht="20" customHeight="1">
      <c r="A15" s="21" t="inlineStr">
        <is>
          <t>预估</t>
        </is>
      </c>
      <c r="B15" s="21" t="inlineStr">
        <is>
          <t>第一期</t>
        </is>
      </c>
      <c r="C15" s="22" t="inlineStr">
        <is>
          <t>PAB060·工装图纸绘制</t>
        </is>
      </c>
      <c r="D15" s="23">
        <f>'时间节点计划表'!E8</f>
        <v/>
      </c>
      <c r="E15" s="23">
        <f>IF(COUNT('时间节点计划表'!F8),'时间节点计划表'!F8,"")</f>
        <v/>
      </c>
      <c r="F15" s="24" t="inlineStr"/>
      <c r="G15" s="25">
        <f>IF(AND(ISNUMBER($D15),N(G$2)&gt;=N($G$2),N(G$2)&lt;=N($D15)),G$2,"")</f>
        <v/>
      </c>
      <c r="H15" s="25">
        <f>IF(AND(ISNUMBER($D15),N(H$2)&gt;=N($G$2),N(H$2)&lt;=N($D15)),H$2,"")</f>
        <v/>
      </c>
      <c r="I15" s="25">
        <f>IF(AND(ISNUMBER($D15),N(I$2)&gt;=N($G$2),N(I$2)&lt;=N($D15)),I$2,"")</f>
        <v/>
      </c>
      <c r="J15" s="25">
        <f>IF(AND(ISNUMBER($D15),N(J$2)&gt;=N($G$2),N(J$2)&lt;=N($D15)),J$2,"")</f>
        <v/>
      </c>
      <c r="K15" s="25">
        <f>IF(AND(ISNUMBER($D15),N(K$2)&gt;=N($G$2),N(K$2)&lt;=N($D15)),K$2,"")</f>
        <v/>
      </c>
      <c r="L15" s="25">
        <f>IF(AND(ISNUMBER($D15),N(L$2)&gt;=N($G$2),N(L$2)&lt;=N($D15)),L$2,"")</f>
        <v/>
      </c>
      <c r="M15" s="25">
        <f>IF(AND(ISNUMBER($D15),N(M$2)&gt;=N($G$2),N(M$2)&lt;=N($D15)),M$2,"")</f>
        <v/>
      </c>
      <c r="N15" s="25">
        <f>IF(AND(ISNUMBER($D15),N(N$2)&gt;=N($G$2),N(N$2)&lt;=N($D15)),N$2,"")</f>
        <v/>
      </c>
      <c r="O15" s="25">
        <f>IF(AND(ISNUMBER($D15),N(O$2)&gt;=N($G$2),N(O$2)&lt;=N($D15)),O$2,"")</f>
        <v/>
      </c>
      <c r="P15" s="25">
        <f>IF(AND(ISNUMBER($D15),N(P$2)&gt;=N($G$2),N(P$2)&lt;=N($D15)),P$2,"")</f>
        <v/>
      </c>
      <c r="Q15" s="25">
        <f>IF(AND(ISNUMBER($D15),N(Q$2)&gt;=N($G$2),N(Q$2)&lt;=N($D15)),Q$2,"")</f>
        <v/>
      </c>
      <c r="R15" s="25">
        <f>IF(AND(ISNUMBER($D15),N(R$2)&gt;=N($G$2),N(R$2)&lt;=N($D15)),R$2,"")</f>
        <v/>
      </c>
      <c r="S15" s="25">
        <f>IF(AND(ISNUMBER($D15),N(S$2)&gt;=N($G$2),N(S$2)&lt;=N($D15)),S$2,"")</f>
        <v/>
      </c>
      <c r="T15" s="25">
        <f>IF(AND(ISNUMBER($D15),N(T$2)&gt;=N($G$2),N(T$2)&lt;=N($D15)),T$2,"")</f>
        <v/>
      </c>
      <c r="U15" s="25">
        <f>IF(AND(ISNUMBER($D15),N(U$2)&gt;=N($G$2),N(U$2)&lt;=N($D15)),U$2,"")</f>
        <v/>
      </c>
      <c r="V15" s="25">
        <f>IF(AND(ISNUMBER($D15),N(V$2)&gt;=N($G$2),N(V$2)&lt;=N($D15)),V$2,"")</f>
        <v/>
      </c>
      <c r="W15" s="25">
        <f>IF(AND(ISNUMBER($D15),N(W$2)&gt;=N($G$2),N(W$2)&lt;=N($D15)),W$2,"")</f>
        <v/>
      </c>
      <c r="X15" s="25">
        <f>IF(AND(ISNUMBER($D15),N(X$2)&gt;=N($G$2),N(X$2)&lt;=N($D15)),X$2,"")</f>
        <v/>
      </c>
      <c r="Y15" s="25">
        <f>IF(AND(ISNUMBER($D15),N(Y$2)&gt;=N($G$2),N(Y$2)&lt;=N($D15)),Y$2,"")</f>
        <v/>
      </c>
      <c r="Z15" s="25">
        <f>IF(AND(ISNUMBER($D15),N(Z$2)&gt;=N($G$2),N(Z$2)&lt;=N($D15)),Z$2,"")</f>
        <v/>
      </c>
      <c r="AA15" s="25">
        <f>IF(AND(ISNUMBER($D15),N(AA$2)&gt;=N($G$2),N(AA$2)&lt;=N($D15)),AA$2,"")</f>
        <v/>
      </c>
      <c r="AB15" s="25">
        <f>IF(AND(ISNUMBER($D15),N(AB$2)&gt;=N($G$2),N(AB$2)&lt;=N($D15)),AB$2,"")</f>
        <v/>
      </c>
      <c r="AC15" s="25">
        <f>IF(AND(ISNUMBER($D15),N(AC$2)&gt;=N($G$2),N(AC$2)&lt;=N($D15)),AC$2,"")</f>
        <v/>
      </c>
      <c r="AD15" s="25">
        <f>IF(AND(ISNUMBER($D15),N(AD$2)&gt;=N($G$2),N(AD$2)&lt;=N($D15)),AD$2,"")</f>
        <v/>
      </c>
      <c r="AE15" s="25">
        <f>IF(AND(ISNUMBER($D15),N(AE$2)&gt;=N($G$2),N(AE$2)&lt;=N($D15)),AE$2,"")</f>
        <v/>
      </c>
      <c r="AF15" s="25">
        <f>IF(AND(ISNUMBER($D15),N(AF$2)&gt;=N($G$2),N(AF$2)&lt;=N($D15)),AF$2,"")</f>
        <v/>
      </c>
      <c r="AG15" s="25">
        <f>IF(AND(ISNUMBER($D15),N(AG$2)&gt;=N($G$2),N(AG$2)&lt;=N($D15)),AG$2,"")</f>
        <v/>
      </c>
      <c r="AH15" s="25">
        <f>IF(AND(ISNUMBER($D15),N(AH$2)&gt;=N($G$2),N(AH$2)&lt;=N($D15)),AH$2,"")</f>
        <v/>
      </c>
      <c r="AI15" s="25">
        <f>IF(AND(ISNUMBER($D15),N(AI$2)&gt;=N($G$2),N(AI$2)&lt;=N($D15)),AI$2,"")</f>
        <v/>
      </c>
      <c r="AJ15" s="25">
        <f>IF(AND(ISNUMBER($D15),N(AJ$2)&gt;=N($G$2),N(AJ$2)&lt;=N($D15)),AJ$2,"")</f>
        <v/>
      </c>
      <c r="AK15" s="25">
        <f>IF(AND(ISNUMBER($D15),N(AK$2)&gt;=N($G$2),N(AK$2)&lt;=N($D15)),AK$2,"")</f>
        <v/>
      </c>
      <c r="AL15" s="25">
        <f>IF(AND(ISNUMBER($D15),N(AL$2)&gt;=N($G$2),N(AL$2)&lt;=N($D15)),AL$2,"")</f>
        <v/>
      </c>
      <c r="AM15" s="25">
        <f>IF(AND(ISNUMBER($D15),N(AM$2)&gt;=N($G$2),N(AM$2)&lt;=N($D15)),AM$2,"")</f>
        <v/>
      </c>
      <c r="AN15" s="25">
        <f>IF(AND(ISNUMBER($D15),N(AN$2)&gt;=N($G$2),N(AN$2)&lt;=N($D15)),AN$2,"")</f>
        <v/>
      </c>
      <c r="AO15" s="25">
        <f>IF(AND(ISNUMBER($D15),N(AO$2)&gt;=N($G$2),N(AO$2)&lt;=N($D15)),AO$2,"")</f>
        <v/>
      </c>
      <c r="AP15" s="25">
        <f>IF(AND(ISNUMBER($D15),N(AP$2)&gt;=N($G$2),N(AP$2)&lt;=N($D15)),AP$2,"")</f>
        <v/>
      </c>
      <c r="AQ15" s="25">
        <f>IF(AND(ISNUMBER($D15),N(AQ$2)&gt;=N($G$2),N(AQ$2)&lt;=N($D15)),AQ$2,"")</f>
        <v/>
      </c>
      <c r="AR15" s="25">
        <f>IF(AND(ISNUMBER($D15),N(AR$2)&gt;=N($G$2),N(AR$2)&lt;=N($D15)),AR$2,"")</f>
        <v/>
      </c>
      <c r="AS15" s="25">
        <f>IF(AND(ISNUMBER($D15),N(AS$2)&gt;=N($G$2),N(AS$2)&lt;=N($D15)),AS$2,"")</f>
        <v/>
      </c>
      <c r="AT15" s="25">
        <f>IF(AND(ISNUMBER($D15),N(AT$2)&gt;=N($G$2),N(AT$2)&lt;=N($D15)),AT$2,"")</f>
        <v/>
      </c>
      <c r="AU15" s="25">
        <f>IF(AND(ISNUMBER($D15),N(AU$2)&gt;=N($G$2),N(AU$2)&lt;=N($D15)),AU$2,"")</f>
        <v/>
      </c>
      <c r="AV15" s="25">
        <f>IF(AND(ISNUMBER($D15),N(AV$2)&gt;=N($G$2),N(AV$2)&lt;=N($D15)),AV$2,"")</f>
        <v/>
      </c>
      <c r="AW15" s="25">
        <f>IF(AND(ISNUMBER($D15),N(AW$2)&gt;=N($G$2),N(AW$2)&lt;=N($D15)),AW$2,"")</f>
        <v/>
      </c>
      <c r="AX15" s="25">
        <f>IF(AND(ISNUMBER($D15),N(AX$2)&gt;=N($G$2),N(AX$2)&lt;=N($D15)),AX$2,"")</f>
        <v/>
      </c>
      <c r="AY15" s="25">
        <f>IF(AND(ISNUMBER($D15),N(AY$2)&gt;=N($G$2),N(AY$2)&lt;=N($D15)),AY$2,"")</f>
        <v/>
      </c>
      <c r="AZ15" s="25">
        <f>IF(AND(ISNUMBER($D15),N(AZ$2)&gt;=N($G$2),N(AZ$2)&lt;=N($D15)),AZ$2,"")</f>
        <v/>
      </c>
      <c r="BA15" s="25">
        <f>IF(AND(ISNUMBER($D15),N(BA$2)&gt;=N($G$2),N(BA$2)&lt;=N($D15)),BA$2,"")</f>
        <v/>
      </c>
      <c r="BB15" s="25">
        <f>IF(AND(ISNUMBER($D15),N(BB$2)&gt;=N($G$2),N(BB$2)&lt;=N($D15)),BB$2,"")</f>
        <v/>
      </c>
      <c r="BC15" s="25">
        <f>IF(AND(ISNUMBER($D15),N(BC$2)&gt;=N($G$2),N(BC$2)&lt;=N($D15)),BC$2,"")</f>
        <v/>
      </c>
      <c r="BD15" s="25">
        <f>IF(AND(ISNUMBER($D15),N(BD$2)&gt;=N($G$2),N(BD$2)&lt;=N($D15)),BD$2,"")</f>
        <v/>
      </c>
      <c r="BE15" s="25">
        <f>IF(AND(ISNUMBER($D15),N(BE$2)&gt;=N($G$2),N(BE$2)&lt;=N($D15)),BE$2,"")</f>
        <v/>
      </c>
      <c r="BF15" s="25">
        <f>IF(AND(ISNUMBER($D15),N(BF$2)&gt;=N($G$2),N(BF$2)&lt;=N($D15)),BF$2,"")</f>
        <v/>
      </c>
      <c r="BG15" s="25">
        <f>IF(AND(ISNUMBER($D15),N(BG$2)&gt;=N($G$2),N(BG$2)&lt;=N($D15)),BG$2,"")</f>
        <v/>
      </c>
      <c r="BH15" s="25">
        <f>IF(AND(ISNUMBER($D15),N(BH$2)&gt;=N($G$2),N(BH$2)&lt;=N($D15)),BH$2,"")</f>
        <v/>
      </c>
      <c r="BI15" s="25">
        <f>IF(AND(ISNUMBER($D15),N(BI$2)&gt;=N($G$2),N(BI$2)&lt;=N($D15)),BI$2,"")</f>
        <v/>
      </c>
      <c r="BJ15" s="25">
        <f>IF(AND(ISNUMBER($D15),N(BJ$2)&gt;=N($G$2),N(BJ$2)&lt;=N($D15)),BJ$2,"")</f>
        <v/>
      </c>
      <c r="BK15" s="25">
        <f>IF(AND(ISNUMBER($D15),N(BK$2)&gt;=N($G$2),N(BK$2)&lt;=N($D15)),BK$2,"")</f>
        <v/>
      </c>
      <c r="BL15" s="25">
        <f>IF(AND(ISNUMBER($D15),N(BL$2)&gt;=N($G$2),N(BL$2)&lt;=N($D15)),BL$2,"")</f>
        <v/>
      </c>
      <c r="BM15" s="25">
        <f>IF(AND(ISNUMBER($D15),N(BM$2)&gt;=N($G$2),N(BM$2)&lt;=N($D15)),BM$2,"")</f>
        <v/>
      </c>
      <c r="BN15" s="25">
        <f>IF(AND(ISNUMBER($D15),N(BN$2)&gt;=N($G$2),N(BN$2)&lt;=N($D15)),BN$2,"")</f>
        <v/>
      </c>
      <c r="BO15" s="25">
        <f>IF(AND(ISNUMBER($D15),N(BO$2)&gt;=N($G$2),N(BO$2)&lt;=N($D15)),BO$2,"")</f>
        <v/>
      </c>
    </row>
    <row r="16" ht="20" customHeight="1">
      <c r="A16" s="26" t="inlineStr">
        <is>
          <t>实际</t>
        </is>
      </c>
      <c r="B16" s="26" t="inlineStr">
        <is>
          <t>第一期</t>
        </is>
      </c>
      <c r="C16" s="27" t="inlineStr">
        <is>
          <t>PAB060·工装图纸绘制</t>
        </is>
      </c>
      <c r="D16" s="28">
        <f>'时间节点计划表'!E8</f>
        <v/>
      </c>
      <c r="E16" s="28">
        <f>IF(COUNT('时间节点计划表'!F8),'时间节点计划表'!F8,"")</f>
        <v/>
      </c>
      <c r="F16" s="29">
        <f>IF(OR(D16="",E16=""),"待填",E16-D16)</f>
        <v/>
      </c>
      <c r="G16" s="25">
        <f>IF(AND(ISNUMBER($E16),N(G$2)&gt;=N($G$2),N(G$2)&lt;=N($E16)),G$2,"")</f>
        <v/>
      </c>
      <c r="H16" s="25">
        <f>IF(AND(ISNUMBER($E16),N(H$2)&gt;=N($G$2),N(H$2)&lt;=N($E16)),H$2,"")</f>
        <v/>
      </c>
      <c r="I16" s="25">
        <f>IF(AND(ISNUMBER($E16),N(I$2)&gt;=N($G$2),N(I$2)&lt;=N($E16)),I$2,"")</f>
        <v/>
      </c>
      <c r="J16" s="25">
        <f>IF(AND(ISNUMBER($E16),N(J$2)&gt;=N($G$2),N(J$2)&lt;=N($E16)),J$2,"")</f>
        <v/>
      </c>
      <c r="K16" s="25">
        <f>IF(AND(ISNUMBER($E16),N(K$2)&gt;=N($G$2),N(K$2)&lt;=N($E16)),K$2,"")</f>
        <v/>
      </c>
      <c r="L16" s="25">
        <f>IF(AND(ISNUMBER($E16),N(L$2)&gt;=N($G$2),N(L$2)&lt;=N($E16)),L$2,"")</f>
        <v/>
      </c>
      <c r="M16" s="25">
        <f>IF(AND(ISNUMBER($E16),N(M$2)&gt;=N($G$2),N(M$2)&lt;=N($E16)),M$2,"")</f>
        <v/>
      </c>
      <c r="N16" s="25">
        <f>IF(AND(ISNUMBER($E16),N(N$2)&gt;=N($G$2),N(N$2)&lt;=N($E16)),N$2,"")</f>
        <v/>
      </c>
      <c r="O16" s="25">
        <f>IF(AND(ISNUMBER($E16),N(O$2)&gt;=N($G$2),N(O$2)&lt;=N($E16)),O$2,"")</f>
        <v/>
      </c>
      <c r="P16" s="25">
        <f>IF(AND(ISNUMBER($E16),N(P$2)&gt;=N($G$2),N(P$2)&lt;=N($E16)),P$2,"")</f>
        <v/>
      </c>
      <c r="Q16" s="25">
        <f>IF(AND(ISNUMBER($E16),N(Q$2)&gt;=N($G$2),N(Q$2)&lt;=N($E16)),Q$2,"")</f>
        <v/>
      </c>
      <c r="R16" s="25">
        <f>IF(AND(ISNUMBER($E16),N(R$2)&gt;=N($G$2),N(R$2)&lt;=N($E16)),R$2,"")</f>
        <v/>
      </c>
      <c r="S16" s="25">
        <f>IF(AND(ISNUMBER($E16),N(S$2)&gt;=N($G$2),N(S$2)&lt;=N($E16)),S$2,"")</f>
        <v/>
      </c>
      <c r="T16" s="25">
        <f>IF(AND(ISNUMBER($E16),N(T$2)&gt;=N($G$2),N(T$2)&lt;=N($E16)),T$2,"")</f>
        <v/>
      </c>
      <c r="U16" s="25">
        <f>IF(AND(ISNUMBER($E16),N(U$2)&gt;=N($G$2),N(U$2)&lt;=N($E16)),U$2,"")</f>
        <v/>
      </c>
      <c r="V16" s="25">
        <f>IF(AND(ISNUMBER($E16),N(V$2)&gt;=N($G$2),N(V$2)&lt;=N($E16)),V$2,"")</f>
        <v/>
      </c>
      <c r="W16" s="25">
        <f>IF(AND(ISNUMBER($E16),N(W$2)&gt;=N($G$2),N(W$2)&lt;=N($E16)),W$2,"")</f>
        <v/>
      </c>
      <c r="X16" s="25">
        <f>IF(AND(ISNUMBER($E16),N(X$2)&gt;=N($G$2),N(X$2)&lt;=N($E16)),X$2,"")</f>
        <v/>
      </c>
      <c r="Y16" s="25">
        <f>IF(AND(ISNUMBER($E16),N(Y$2)&gt;=N($G$2),N(Y$2)&lt;=N($E16)),Y$2,"")</f>
        <v/>
      </c>
      <c r="Z16" s="25">
        <f>IF(AND(ISNUMBER($E16),N(Z$2)&gt;=N($G$2),N(Z$2)&lt;=N($E16)),Z$2,"")</f>
        <v/>
      </c>
      <c r="AA16" s="25">
        <f>IF(AND(ISNUMBER($E16),N(AA$2)&gt;=N($G$2),N(AA$2)&lt;=N($E16)),AA$2,"")</f>
        <v/>
      </c>
      <c r="AB16" s="25">
        <f>IF(AND(ISNUMBER($E16),N(AB$2)&gt;=N($G$2),N(AB$2)&lt;=N($E16)),AB$2,"")</f>
        <v/>
      </c>
      <c r="AC16" s="25">
        <f>IF(AND(ISNUMBER($E16),N(AC$2)&gt;=N($G$2),N(AC$2)&lt;=N($E16)),AC$2,"")</f>
        <v/>
      </c>
      <c r="AD16" s="25">
        <f>IF(AND(ISNUMBER($E16),N(AD$2)&gt;=N($G$2),N(AD$2)&lt;=N($E16)),AD$2,"")</f>
        <v/>
      </c>
      <c r="AE16" s="25">
        <f>IF(AND(ISNUMBER($E16),N(AE$2)&gt;=N($G$2),N(AE$2)&lt;=N($E16)),AE$2,"")</f>
        <v/>
      </c>
      <c r="AF16" s="25">
        <f>IF(AND(ISNUMBER($E16),N(AF$2)&gt;=N($G$2),N(AF$2)&lt;=N($E16)),AF$2,"")</f>
        <v/>
      </c>
      <c r="AG16" s="25">
        <f>IF(AND(ISNUMBER($E16),N(AG$2)&gt;=N($G$2),N(AG$2)&lt;=N($E16)),AG$2,"")</f>
        <v/>
      </c>
      <c r="AH16" s="25">
        <f>IF(AND(ISNUMBER($E16),N(AH$2)&gt;=N($G$2),N(AH$2)&lt;=N($E16)),AH$2,"")</f>
        <v/>
      </c>
      <c r="AI16" s="25">
        <f>IF(AND(ISNUMBER($E16),N(AI$2)&gt;=N($G$2),N(AI$2)&lt;=N($E16)),AI$2,"")</f>
        <v/>
      </c>
      <c r="AJ16" s="25">
        <f>IF(AND(ISNUMBER($E16),N(AJ$2)&gt;=N($G$2),N(AJ$2)&lt;=N($E16)),AJ$2,"")</f>
        <v/>
      </c>
      <c r="AK16" s="25">
        <f>IF(AND(ISNUMBER($E16),N(AK$2)&gt;=N($G$2),N(AK$2)&lt;=N($E16)),AK$2,"")</f>
        <v/>
      </c>
      <c r="AL16" s="25">
        <f>IF(AND(ISNUMBER($E16),N(AL$2)&gt;=N($G$2),N(AL$2)&lt;=N($E16)),AL$2,"")</f>
        <v/>
      </c>
      <c r="AM16" s="25">
        <f>IF(AND(ISNUMBER($E16),N(AM$2)&gt;=N($G$2),N(AM$2)&lt;=N($E16)),AM$2,"")</f>
        <v/>
      </c>
      <c r="AN16" s="25">
        <f>IF(AND(ISNUMBER($E16),N(AN$2)&gt;=N($G$2),N(AN$2)&lt;=N($E16)),AN$2,"")</f>
        <v/>
      </c>
      <c r="AO16" s="25">
        <f>IF(AND(ISNUMBER($E16),N(AO$2)&gt;=N($G$2),N(AO$2)&lt;=N($E16)),AO$2,"")</f>
        <v/>
      </c>
      <c r="AP16" s="25">
        <f>IF(AND(ISNUMBER($E16),N(AP$2)&gt;=N($G$2),N(AP$2)&lt;=N($E16)),AP$2,"")</f>
        <v/>
      </c>
      <c r="AQ16" s="25">
        <f>IF(AND(ISNUMBER($E16),N(AQ$2)&gt;=N($G$2),N(AQ$2)&lt;=N($E16)),AQ$2,"")</f>
        <v/>
      </c>
      <c r="AR16" s="25">
        <f>IF(AND(ISNUMBER($E16),N(AR$2)&gt;=N($G$2),N(AR$2)&lt;=N($E16)),AR$2,"")</f>
        <v/>
      </c>
      <c r="AS16" s="25">
        <f>IF(AND(ISNUMBER($E16),N(AS$2)&gt;=N($G$2),N(AS$2)&lt;=N($E16)),AS$2,"")</f>
        <v/>
      </c>
      <c r="AT16" s="25">
        <f>IF(AND(ISNUMBER($E16),N(AT$2)&gt;=N($G$2),N(AT$2)&lt;=N($E16)),AT$2,"")</f>
        <v/>
      </c>
      <c r="AU16" s="25">
        <f>IF(AND(ISNUMBER($E16),N(AU$2)&gt;=N($G$2),N(AU$2)&lt;=N($E16)),AU$2,"")</f>
        <v/>
      </c>
      <c r="AV16" s="25">
        <f>IF(AND(ISNUMBER($E16),N(AV$2)&gt;=N($G$2),N(AV$2)&lt;=N($E16)),AV$2,"")</f>
        <v/>
      </c>
      <c r="AW16" s="25">
        <f>IF(AND(ISNUMBER($E16),N(AW$2)&gt;=N($G$2),N(AW$2)&lt;=N($E16)),AW$2,"")</f>
        <v/>
      </c>
      <c r="AX16" s="25">
        <f>IF(AND(ISNUMBER($E16),N(AX$2)&gt;=N($G$2),N(AX$2)&lt;=N($E16)),AX$2,"")</f>
        <v/>
      </c>
      <c r="AY16" s="25">
        <f>IF(AND(ISNUMBER($E16),N(AY$2)&gt;=N($G$2),N(AY$2)&lt;=N($E16)),AY$2,"")</f>
        <v/>
      </c>
      <c r="AZ16" s="25">
        <f>IF(AND(ISNUMBER($E16),N(AZ$2)&gt;=N($G$2),N(AZ$2)&lt;=N($E16)),AZ$2,"")</f>
        <v/>
      </c>
      <c r="BA16" s="25">
        <f>IF(AND(ISNUMBER($E16),N(BA$2)&gt;=N($G$2),N(BA$2)&lt;=N($E16)),BA$2,"")</f>
        <v/>
      </c>
      <c r="BB16" s="25">
        <f>IF(AND(ISNUMBER($E16),N(BB$2)&gt;=N($G$2),N(BB$2)&lt;=N($E16)),BB$2,"")</f>
        <v/>
      </c>
      <c r="BC16" s="25">
        <f>IF(AND(ISNUMBER($E16),N(BC$2)&gt;=N($G$2),N(BC$2)&lt;=N($E16)),BC$2,"")</f>
        <v/>
      </c>
      <c r="BD16" s="25">
        <f>IF(AND(ISNUMBER($E16),N(BD$2)&gt;=N($G$2),N(BD$2)&lt;=N($E16)),BD$2,"")</f>
        <v/>
      </c>
      <c r="BE16" s="25">
        <f>IF(AND(ISNUMBER($E16),N(BE$2)&gt;=N($G$2),N(BE$2)&lt;=N($E16)),BE$2,"")</f>
        <v/>
      </c>
      <c r="BF16" s="25">
        <f>IF(AND(ISNUMBER($E16),N(BF$2)&gt;=N($G$2),N(BF$2)&lt;=N($E16)),BF$2,"")</f>
        <v/>
      </c>
      <c r="BG16" s="25">
        <f>IF(AND(ISNUMBER($E16),N(BG$2)&gt;=N($G$2),N(BG$2)&lt;=N($E16)),BG$2,"")</f>
        <v/>
      </c>
      <c r="BH16" s="25">
        <f>IF(AND(ISNUMBER($E16),N(BH$2)&gt;=N($G$2),N(BH$2)&lt;=N($E16)),BH$2,"")</f>
        <v/>
      </c>
      <c r="BI16" s="25">
        <f>IF(AND(ISNUMBER($E16),N(BI$2)&gt;=N($G$2),N(BI$2)&lt;=N($E16)),BI$2,"")</f>
        <v/>
      </c>
      <c r="BJ16" s="25">
        <f>IF(AND(ISNUMBER($E16),N(BJ$2)&gt;=N($G$2),N(BJ$2)&lt;=N($E16)),BJ$2,"")</f>
        <v/>
      </c>
      <c r="BK16" s="25">
        <f>IF(AND(ISNUMBER($E16),N(BK$2)&gt;=N($G$2),N(BK$2)&lt;=N($E16)),BK$2,"")</f>
        <v/>
      </c>
      <c r="BL16" s="25">
        <f>IF(AND(ISNUMBER($E16),N(BL$2)&gt;=N($G$2),N(BL$2)&lt;=N($E16)),BL$2,"")</f>
        <v/>
      </c>
      <c r="BM16" s="25">
        <f>IF(AND(ISNUMBER($E16),N(BM$2)&gt;=N($G$2),N(BM$2)&lt;=N($E16)),BM$2,"")</f>
        <v/>
      </c>
      <c r="BN16" s="25">
        <f>IF(AND(ISNUMBER($E16),N(BN$2)&gt;=N($G$2),N(BN$2)&lt;=N($E16)),BN$2,"")</f>
        <v/>
      </c>
      <c r="BO16" s="25">
        <f>IF(AND(ISNUMBER($E16),N(BO$2)&gt;=N($G$2),N(BO$2)&lt;=N($E16)),BO$2,"")</f>
        <v/>
      </c>
    </row>
    <row r="17" ht="20" customHeight="1">
      <c r="A17" s="21" t="inlineStr">
        <is>
          <t>预估</t>
        </is>
      </c>
      <c r="B17" s="21" t="inlineStr">
        <is>
          <t>第一期</t>
        </is>
      </c>
      <c r="C17" s="22" t="inlineStr">
        <is>
          <t>PAB060·工装实物到位</t>
        </is>
      </c>
      <c r="D17" s="23">
        <f>'时间节点计划表'!E9</f>
        <v/>
      </c>
      <c r="E17" s="23">
        <f>IF(COUNT('时间节点计划表'!F9),'时间节点计划表'!F9,"")</f>
        <v/>
      </c>
      <c r="F17" s="24" t="inlineStr"/>
      <c r="G17" s="25">
        <f>IF(AND(ISNUMBER($D17),N(G$2)&gt;=N($G$2),N(G$2)&lt;=N($D17)),G$2,"")</f>
        <v/>
      </c>
      <c r="H17" s="25">
        <f>IF(AND(ISNUMBER($D17),N(H$2)&gt;=N($G$2),N(H$2)&lt;=N($D17)),H$2,"")</f>
        <v/>
      </c>
      <c r="I17" s="25">
        <f>IF(AND(ISNUMBER($D17),N(I$2)&gt;=N($G$2),N(I$2)&lt;=N($D17)),I$2,"")</f>
        <v/>
      </c>
      <c r="J17" s="25">
        <f>IF(AND(ISNUMBER($D17),N(J$2)&gt;=N($G$2),N(J$2)&lt;=N($D17)),J$2,"")</f>
        <v/>
      </c>
      <c r="K17" s="25">
        <f>IF(AND(ISNUMBER($D17),N(K$2)&gt;=N($G$2),N(K$2)&lt;=N($D17)),K$2,"")</f>
        <v/>
      </c>
      <c r="L17" s="25">
        <f>IF(AND(ISNUMBER($D17),N(L$2)&gt;=N($G$2),N(L$2)&lt;=N($D17)),L$2,"")</f>
        <v/>
      </c>
      <c r="M17" s="25">
        <f>IF(AND(ISNUMBER($D17),N(M$2)&gt;=N($G$2),N(M$2)&lt;=N($D17)),M$2,"")</f>
        <v/>
      </c>
      <c r="N17" s="25">
        <f>IF(AND(ISNUMBER($D17),N(N$2)&gt;=N($G$2),N(N$2)&lt;=N($D17)),N$2,"")</f>
        <v/>
      </c>
      <c r="O17" s="25">
        <f>IF(AND(ISNUMBER($D17),N(O$2)&gt;=N($G$2),N(O$2)&lt;=N($D17)),O$2,"")</f>
        <v/>
      </c>
      <c r="P17" s="25">
        <f>IF(AND(ISNUMBER($D17),N(P$2)&gt;=N($G$2),N(P$2)&lt;=N($D17)),P$2,"")</f>
        <v/>
      </c>
      <c r="Q17" s="25">
        <f>IF(AND(ISNUMBER($D17),N(Q$2)&gt;=N($G$2),N(Q$2)&lt;=N($D17)),Q$2,"")</f>
        <v/>
      </c>
      <c r="R17" s="25">
        <f>IF(AND(ISNUMBER($D17),N(R$2)&gt;=N($G$2),N(R$2)&lt;=N($D17)),R$2,"")</f>
        <v/>
      </c>
      <c r="S17" s="25">
        <f>IF(AND(ISNUMBER($D17),N(S$2)&gt;=N($G$2),N(S$2)&lt;=N($D17)),S$2,"")</f>
        <v/>
      </c>
      <c r="T17" s="25">
        <f>IF(AND(ISNUMBER($D17),N(T$2)&gt;=N($G$2),N(T$2)&lt;=N($D17)),T$2,"")</f>
        <v/>
      </c>
      <c r="U17" s="25">
        <f>IF(AND(ISNUMBER($D17),N(U$2)&gt;=N($G$2),N(U$2)&lt;=N($D17)),U$2,"")</f>
        <v/>
      </c>
      <c r="V17" s="25">
        <f>IF(AND(ISNUMBER($D17),N(V$2)&gt;=N($G$2),N(V$2)&lt;=N($D17)),V$2,"")</f>
        <v/>
      </c>
      <c r="W17" s="25">
        <f>IF(AND(ISNUMBER($D17),N(W$2)&gt;=N($G$2),N(W$2)&lt;=N($D17)),W$2,"")</f>
        <v/>
      </c>
      <c r="X17" s="25">
        <f>IF(AND(ISNUMBER($D17),N(X$2)&gt;=N($G$2),N(X$2)&lt;=N($D17)),X$2,"")</f>
        <v/>
      </c>
      <c r="Y17" s="25">
        <f>IF(AND(ISNUMBER($D17),N(Y$2)&gt;=N($G$2),N(Y$2)&lt;=N($D17)),Y$2,"")</f>
        <v/>
      </c>
      <c r="Z17" s="25">
        <f>IF(AND(ISNUMBER($D17),N(Z$2)&gt;=N($G$2),N(Z$2)&lt;=N($D17)),Z$2,"")</f>
        <v/>
      </c>
      <c r="AA17" s="25">
        <f>IF(AND(ISNUMBER($D17),N(AA$2)&gt;=N($G$2),N(AA$2)&lt;=N($D17)),AA$2,"")</f>
        <v/>
      </c>
      <c r="AB17" s="25">
        <f>IF(AND(ISNUMBER($D17),N(AB$2)&gt;=N($G$2),N(AB$2)&lt;=N($D17)),AB$2,"")</f>
        <v/>
      </c>
      <c r="AC17" s="25">
        <f>IF(AND(ISNUMBER($D17),N(AC$2)&gt;=N($G$2),N(AC$2)&lt;=N($D17)),AC$2,"")</f>
        <v/>
      </c>
      <c r="AD17" s="25">
        <f>IF(AND(ISNUMBER($D17),N(AD$2)&gt;=N($G$2),N(AD$2)&lt;=N($D17)),AD$2,"")</f>
        <v/>
      </c>
      <c r="AE17" s="25">
        <f>IF(AND(ISNUMBER($D17),N(AE$2)&gt;=N($G$2),N(AE$2)&lt;=N($D17)),AE$2,"")</f>
        <v/>
      </c>
      <c r="AF17" s="25">
        <f>IF(AND(ISNUMBER($D17),N(AF$2)&gt;=N($G$2),N(AF$2)&lt;=N($D17)),AF$2,"")</f>
        <v/>
      </c>
      <c r="AG17" s="25">
        <f>IF(AND(ISNUMBER($D17),N(AG$2)&gt;=N($G$2),N(AG$2)&lt;=N($D17)),AG$2,"")</f>
        <v/>
      </c>
      <c r="AH17" s="25">
        <f>IF(AND(ISNUMBER($D17),N(AH$2)&gt;=N($G$2),N(AH$2)&lt;=N($D17)),AH$2,"")</f>
        <v/>
      </c>
      <c r="AI17" s="25">
        <f>IF(AND(ISNUMBER($D17),N(AI$2)&gt;=N($G$2),N(AI$2)&lt;=N($D17)),AI$2,"")</f>
        <v/>
      </c>
      <c r="AJ17" s="25">
        <f>IF(AND(ISNUMBER($D17),N(AJ$2)&gt;=N($G$2),N(AJ$2)&lt;=N($D17)),AJ$2,"")</f>
        <v/>
      </c>
      <c r="AK17" s="25">
        <f>IF(AND(ISNUMBER($D17),N(AK$2)&gt;=N($G$2),N(AK$2)&lt;=N($D17)),AK$2,"")</f>
        <v/>
      </c>
      <c r="AL17" s="25">
        <f>IF(AND(ISNUMBER($D17),N(AL$2)&gt;=N($G$2),N(AL$2)&lt;=N($D17)),AL$2,"")</f>
        <v/>
      </c>
      <c r="AM17" s="25">
        <f>IF(AND(ISNUMBER($D17),N(AM$2)&gt;=N($G$2),N(AM$2)&lt;=N($D17)),AM$2,"")</f>
        <v/>
      </c>
      <c r="AN17" s="25">
        <f>IF(AND(ISNUMBER($D17),N(AN$2)&gt;=N($G$2),N(AN$2)&lt;=N($D17)),AN$2,"")</f>
        <v/>
      </c>
      <c r="AO17" s="25">
        <f>IF(AND(ISNUMBER($D17),N(AO$2)&gt;=N($G$2),N(AO$2)&lt;=N($D17)),AO$2,"")</f>
        <v/>
      </c>
      <c r="AP17" s="25">
        <f>IF(AND(ISNUMBER($D17),N(AP$2)&gt;=N($G$2),N(AP$2)&lt;=N($D17)),AP$2,"")</f>
        <v/>
      </c>
      <c r="AQ17" s="25">
        <f>IF(AND(ISNUMBER($D17),N(AQ$2)&gt;=N($G$2),N(AQ$2)&lt;=N($D17)),AQ$2,"")</f>
        <v/>
      </c>
      <c r="AR17" s="25">
        <f>IF(AND(ISNUMBER($D17),N(AR$2)&gt;=N($G$2),N(AR$2)&lt;=N($D17)),AR$2,"")</f>
        <v/>
      </c>
      <c r="AS17" s="25">
        <f>IF(AND(ISNUMBER($D17),N(AS$2)&gt;=N($G$2),N(AS$2)&lt;=N($D17)),AS$2,"")</f>
        <v/>
      </c>
      <c r="AT17" s="25">
        <f>IF(AND(ISNUMBER($D17),N(AT$2)&gt;=N($G$2),N(AT$2)&lt;=N($D17)),AT$2,"")</f>
        <v/>
      </c>
      <c r="AU17" s="25">
        <f>IF(AND(ISNUMBER($D17),N(AU$2)&gt;=N($G$2),N(AU$2)&lt;=N($D17)),AU$2,"")</f>
        <v/>
      </c>
      <c r="AV17" s="25">
        <f>IF(AND(ISNUMBER($D17),N(AV$2)&gt;=N($G$2),N(AV$2)&lt;=N($D17)),AV$2,"")</f>
        <v/>
      </c>
      <c r="AW17" s="25">
        <f>IF(AND(ISNUMBER($D17),N(AW$2)&gt;=N($G$2),N(AW$2)&lt;=N($D17)),AW$2,"")</f>
        <v/>
      </c>
      <c r="AX17" s="25">
        <f>IF(AND(ISNUMBER($D17),N(AX$2)&gt;=N($G$2),N(AX$2)&lt;=N($D17)),AX$2,"")</f>
        <v/>
      </c>
      <c r="AY17" s="25">
        <f>IF(AND(ISNUMBER($D17),N(AY$2)&gt;=N($G$2),N(AY$2)&lt;=N($D17)),AY$2,"")</f>
        <v/>
      </c>
      <c r="AZ17" s="25">
        <f>IF(AND(ISNUMBER($D17),N(AZ$2)&gt;=N($G$2),N(AZ$2)&lt;=N($D17)),AZ$2,"")</f>
        <v/>
      </c>
      <c r="BA17" s="25">
        <f>IF(AND(ISNUMBER($D17),N(BA$2)&gt;=N($G$2),N(BA$2)&lt;=N($D17)),BA$2,"")</f>
        <v/>
      </c>
      <c r="BB17" s="25">
        <f>IF(AND(ISNUMBER($D17),N(BB$2)&gt;=N($G$2),N(BB$2)&lt;=N($D17)),BB$2,"")</f>
        <v/>
      </c>
      <c r="BC17" s="25">
        <f>IF(AND(ISNUMBER($D17),N(BC$2)&gt;=N($G$2),N(BC$2)&lt;=N($D17)),BC$2,"")</f>
        <v/>
      </c>
      <c r="BD17" s="25">
        <f>IF(AND(ISNUMBER($D17),N(BD$2)&gt;=N($G$2),N(BD$2)&lt;=N($D17)),BD$2,"")</f>
        <v/>
      </c>
      <c r="BE17" s="25">
        <f>IF(AND(ISNUMBER($D17),N(BE$2)&gt;=N($G$2),N(BE$2)&lt;=N($D17)),BE$2,"")</f>
        <v/>
      </c>
      <c r="BF17" s="25">
        <f>IF(AND(ISNUMBER($D17),N(BF$2)&gt;=N($G$2),N(BF$2)&lt;=N($D17)),BF$2,"")</f>
        <v/>
      </c>
      <c r="BG17" s="25">
        <f>IF(AND(ISNUMBER($D17),N(BG$2)&gt;=N($G$2),N(BG$2)&lt;=N($D17)),BG$2,"")</f>
        <v/>
      </c>
      <c r="BH17" s="25">
        <f>IF(AND(ISNUMBER($D17),N(BH$2)&gt;=N($G$2),N(BH$2)&lt;=N($D17)),BH$2,"")</f>
        <v/>
      </c>
      <c r="BI17" s="25">
        <f>IF(AND(ISNUMBER($D17),N(BI$2)&gt;=N($G$2),N(BI$2)&lt;=N($D17)),BI$2,"")</f>
        <v/>
      </c>
      <c r="BJ17" s="25">
        <f>IF(AND(ISNUMBER($D17),N(BJ$2)&gt;=N($G$2),N(BJ$2)&lt;=N($D17)),BJ$2,"")</f>
        <v/>
      </c>
      <c r="BK17" s="25">
        <f>IF(AND(ISNUMBER($D17),N(BK$2)&gt;=N($G$2),N(BK$2)&lt;=N($D17)),BK$2,"")</f>
        <v/>
      </c>
      <c r="BL17" s="25">
        <f>IF(AND(ISNUMBER($D17),N(BL$2)&gt;=N($G$2),N(BL$2)&lt;=N($D17)),BL$2,"")</f>
        <v/>
      </c>
      <c r="BM17" s="25">
        <f>IF(AND(ISNUMBER($D17),N(BM$2)&gt;=N($G$2),N(BM$2)&lt;=N($D17)),BM$2,"")</f>
        <v/>
      </c>
      <c r="BN17" s="25">
        <f>IF(AND(ISNUMBER($D17),N(BN$2)&gt;=N($G$2),N(BN$2)&lt;=N($D17)),BN$2,"")</f>
        <v/>
      </c>
      <c r="BO17" s="25">
        <f>IF(AND(ISNUMBER($D17),N(BO$2)&gt;=N($G$2),N(BO$2)&lt;=N($D17)),BO$2,"")</f>
        <v/>
      </c>
    </row>
    <row r="18" ht="20" customHeight="1">
      <c r="A18" s="26" t="inlineStr">
        <is>
          <t>实际</t>
        </is>
      </c>
      <c r="B18" s="26" t="inlineStr">
        <is>
          <t>第一期</t>
        </is>
      </c>
      <c r="C18" s="27" t="inlineStr">
        <is>
          <t>PAB060·工装实物到位</t>
        </is>
      </c>
      <c r="D18" s="28">
        <f>'时间节点计划表'!E9</f>
        <v/>
      </c>
      <c r="E18" s="28">
        <f>IF(COUNT('时间节点计划表'!F9),'时间节点计划表'!F9,"")</f>
        <v/>
      </c>
      <c r="F18" s="29">
        <f>IF(OR(D18="",E18=""),"待填",E18-D18)</f>
        <v/>
      </c>
      <c r="G18" s="25">
        <f>IF(AND(ISNUMBER($E18),N(G$2)&gt;=N($G$2),N(G$2)&lt;=N($E18)),G$2,"")</f>
        <v/>
      </c>
      <c r="H18" s="25">
        <f>IF(AND(ISNUMBER($E18),N(H$2)&gt;=N($G$2),N(H$2)&lt;=N($E18)),H$2,"")</f>
        <v/>
      </c>
      <c r="I18" s="25">
        <f>IF(AND(ISNUMBER($E18),N(I$2)&gt;=N($G$2),N(I$2)&lt;=N($E18)),I$2,"")</f>
        <v/>
      </c>
      <c r="J18" s="25">
        <f>IF(AND(ISNUMBER($E18),N(J$2)&gt;=N($G$2),N(J$2)&lt;=N($E18)),J$2,"")</f>
        <v/>
      </c>
      <c r="K18" s="25">
        <f>IF(AND(ISNUMBER($E18),N(K$2)&gt;=N($G$2),N(K$2)&lt;=N($E18)),K$2,"")</f>
        <v/>
      </c>
      <c r="L18" s="25">
        <f>IF(AND(ISNUMBER($E18),N(L$2)&gt;=N($G$2),N(L$2)&lt;=N($E18)),L$2,"")</f>
        <v/>
      </c>
      <c r="M18" s="25">
        <f>IF(AND(ISNUMBER($E18),N(M$2)&gt;=N($G$2),N(M$2)&lt;=N($E18)),M$2,"")</f>
        <v/>
      </c>
      <c r="N18" s="25">
        <f>IF(AND(ISNUMBER($E18),N(N$2)&gt;=N($G$2),N(N$2)&lt;=N($E18)),N$2,"")</f>
        <v/>
      </c>
      <c r="O18" s="25">
        <f>IF(AND(ISNUMBER($E18),N(O$2)&gt;=N($G$2),N(O$2)&lt;=N($E18)),O$2,"")</f>
        <v/>
      </c>
      <c r="P18" s="25">
        <f>IF(AND(ISNUMBER($E18),N(P$2)&gt;=N($G$2),N(P$2)&lt;=N($E18)),P$2,"")</f>
        <v/>
      </c>
      <c r="Q18" s="25">
        <f>IF(AND(ISNUMBER($E18),N(Q$2)&gt;=N($G$2),N(Q$2)&lt;=N($E18)),Q$2,"")</f>
        <v/>
      </c>
      <c r="R18" s="25">
        <f>IF(AND(ISNUMBER($E18),N(R$2)&gt;=N($G$2),N(R$2)&lt;=N($E18)),R$2,"")</f>
        <v/>
      </c>
      <c r="S18" s="25">
        <f>IF(AND(ISNUMBER($E18),N(S$2)&gt;=N($G$2),N(S$2)&lt;=N($E18)),S$2,"")</f>
        <v/>
      </c>
      <c r="T18" s="25">
        <f>IF(AND(ISNUMBER($E18),N(T$2)&gt;=N($G$2),N(T$2)&lt;=N($E18)),T$2,"")</f>
        <v/>
      </c>
      <c r="U18" s="25">
        <f>IF(AND(ISNUMBER($E18),N(U$2)&gt;=N($G$2),N(U$2)&lt;=N($E18)),U$2,"")</f>
        <v/>
      </c>
      <c r="V18" s="25">
        <f>IF(AND(ISNUMBER($E18),N(V$2)&gt;=N($G$2),N(V$2)&lt;=N($E18)),V$2,"")</f>
        <v/>
      </c>
      <c r="W18" s="25">
        <f>IF(AND(ISNUMBER($E18),N(W$2)&gt;=N($G$2),N(W$2)&lt;=N($E18)),W$2,"")</f>
        <v/>
      </c>
      <c r="X18" s="25">
        <f>IF(AND(ISNUMBER($E18),N(X$2)&gt;=N($G$2),N(X$2)&lt;=N($E18)),X$2,"")</f>
        <v/>
      </c>
      <c r="Y18" s="25">
        <f>IF(AND(ISNUMBER($E18),N(Y$2)&gt;=N($G$2),N(Y$2)&lt;=N($E18)),Y$2,"")</f>
        <v/>
      </c>
      <c r="Z18" s="25">
        <f>IF(AND(ISNUMBER($E18),N(Z$2)&gt;=N($G$2),N(Z$2)&lt;=N($E18)),Z$2,"")</f>
        <v/>
      </c>
      <c r="AA18" s="25">
        <f>IF(AND(ISNUMBER($E18),N(AA$2)&gt;=N($G$2),N(AA$2)&lt;=N($E18)),AA$2,"")</f>
        <v/>
      </c>
      <c r="AB18" s="25">
        <f>IF(AND(ISNUMBER($E18),N(AB$2)&gt;=N($G$2),N(AB$2)&lt;=N($E18)),AB$2,"")</f>
        <v/>
      </c>
      <c r="AC18" s="25">
        <f>IF(AND(ISNUMBER($E18),N(AC$2)&gt;=N($G$2),N(AC$2)&lt;=N($E18)),AC$2,"")</f>
        <v/>
      </c>
      <c r="AD18" s="25">
        <f>IF(AND(ISNUMBER($E18),N(AD$2)&gt;=N($G$2),N(AD$2)&lt;=N($E18)),AD$2,"")</f>
        <v/>
      </c>
      <c r="AE18" s="25">
        <f>IF(AND(ISNUMBER($E18),N(AE$2)&gt;=N($G$2),N(AE$2)&lt;=N($E18)),AE$2,"")</f>
        <v/>
      </c>
      <c r="AF18" s="25">
        <f>IF(AND(ISNUMBER($E18),N(AF$2)&gt;=N($G$2),N(AF$2)&lt;=N($E18)),AF$2,"")</f>
        <v/>
      </c>
      <c r="AG18" s="25">
        <f>IF(AND(ISNUMBER($E18),N(AG$2)&gt;=N($G$2),N(AG$2)&lt;=N($E18)),AG$2,"")</f>
        <v/>
      </c>
      <c r="AH18" s="25">
        <f>IF(AND(ISNUMBER($E18),N(AH$2)&gt;=N($G$2),N(AH$2)&lt;=N($E18)),AH$2,"")</f>
        <v/>
      </c>
      <c r="AI18" s="25">
        <f>IF(AND(ISNUMBER($E18),N(AI$2)&gt;=N($G$2),N(AI$2)&lt;=N($E18)),AI$2,"")</f>
        <v/>
      </c>
      <c r="AJ18" s="25">
        <f>IF(AND(ISNUMBER($E18),N(AJ$2)&gt;=N($G$2),N(AJ$2)&lt;=N($E18)),AJ$2,"")</f>
        <v/>
      </c>
      <c r="AK18" s="25">
        <f>IF(AND(ISNUMBER($E18),N(AK$2)&gt;=N($G$2),N(AK$2)&lt;=N($E18)),AK$2,"")</f>
        <v/>
      </c>
      <c r="AL18" s="25">
        <f>IF(AND(ISNUMBER($E18),N(AL$2)&gt;=N($G$2),N(AL$2)&lt;=N($E18)),AL$2,"")</f>
        <v/>
      </c>
      <c r="AM18" s="25">
        <f>IF(AND(ISNUMBER($E18),N(AM$2)&gt;=N($G$2),N(AM$2)&lt;=N($E18)),AM$2,"")</f>
        <v/>
      </c>
      <c r="AN18" s="25">
        <f>IF(AND(ISNUMBER($E18),N(AN$2)&gt;=N($G$2),N(AN$2)&lt;=N($E18)),AN$2,"")</f>
        <v/>
      </c>
      <c r="AO18" s="25">
        <f>IF(AND(ISNUMBER($E18),N(AO$2)&gt;=N($G$2),N(AO$2)&lt;=N($E18)),AO$2,"")</f>
        <v/>
      </c>
      <c r="AP18" s="25">
        <f>IF(AND(ISNUMBER($E18),N(AP$2)&gt;=N($G$2),N(AP$2)&lt;=N($E18)),AP$2,"")</f>
        <v/>
      </c>
      <c r="AQ18" s="25">
        <f>IF(AND(ISNUMBER($E18),N(AQ$2)&gt;=N($G$2),N(AQ$2)&lt;=N($E18)),AQ$2,"")</f>
        <v/>
      </c>
      <c r="AR18" s="25">
        <f>IF(AND(ISNUMBER($E18),N(AR$2)&gt;=N($G$2),N(AR$2)&lt;=N($E18)),AR$2,"")</f>
        <v/>
      </c>
      <c r="AS18" s="25">
        <f>IF(AND(ISNUMBER($E18),N(AS$2)&gt;=N($G$2),N(AS$2)&lt;=N($E18)),AS$2,"")</f>
        <v/>
      </c>
      <c r="AT18" s="25">
        <f>IF(AND(ISNUMBER($E18),N(AT$2)&gt;=N($G$2),N(AT$2)&lt;=N($E18)),AT$2,"")</f>
        <v/>
      </c>
      <c r="AU18" s="25">
        <f>IF(AND(ISNUMBER($E18),N(AU$2)&gt;=N($G$2),N(AU$2)&lt;=N($E18)),AU$2,"")</f>
        <v/>
      </c>
      <c r="AV18" s="25">
        <f>IF(AND(ISNUMBER($E18),N(AV$2)&gt;=N($G$2),N(AV$2)&lt;=N($E18)),AV$2,"")</f>
        <v/>
      </c>
      <c r="AW18" s="25">
        <f>IF(AND(ISNUMBER($E18),N(AW$2)&gt;=N($G$2),N(AW$2)&lt;=N($E18)),AW$2,"")</f>
        <v/>
      </c>
      <c r="AX18" s="25">
        <f>IF(AND(ISNUMBER($E18),N(AX$2)&gt;=N($G$2),N(AX$2)&lt;=N($E18)),AX$2,"")</f>
        <v/>
      </c>
      <c r="AY18" s="25">
        <f>IF(AND(ISNUMBER($E18),N(AY$2)&gt;=N($G$2),N(AY$2)&lt;=N($E18)),AY$2,"")</f>
        <v/>
      </c>
      <c r="AZ18" s="25">
        <f>IF(AND(ISNUMBER($E18),N(AZ$2)&gt;=N($G$2),N(AZ$2)&lt;=N($E18)),AZ$2,"")</f>
        <v/>
      </c>
      <c r="BA18" s="25">
        <f>IF(AND(ISNUMBER($E18),N(BA$2)&gt;=N($G$2),N(BA$2)&lt;=N($E18)),BA$2,"")</f>
        <v/>
      </c>
      <c r="BB18" s="25">
        <f>IF(AND(ISNUMBER($E18),N(BB$2)&gt;=N($G$2),N(BB$2)&lt;=N($E18)),BB$2,"")</f>
        <v/>
      </c>
      <c r="BC18" s="25">
        <f>IF(AND(ISNUMBER($E18),N(BC$2)&gt;=N($G$2),N(BC$2)&lt;=N($E18)),BC$2,"")</f>
        <v/>
      </c>
      <c r="BD18" s="25">
        <f>IF(AND(ISNUMBER($E18),N(BD$2)&gt;=N($G$2),N(BD$2)&lt;=N($E18)),BD$2,"")</f>
        <v/>
      </c>
      <c r="BE18" s="25">
        <f>IF(AND(ISNUMBER($E18),N(BE$2)&gt;=N($G$2),N(BE$2)&lt;=N($E18)),BE$2,"")</f>
        <v/>
      </c>
      <c r="BF18" s="25">
        <f>IF(AND(ISNUMBER($E18),N(BF$2)&gt;=N($G$2),N(BF$2)&lt;=N($E18)),BF$2,"")</f>
        <v/>
      </c>
      <c r="BG18" s="25">
        <f>IF(AND(ISNUMBER($E18),N(BG$2)&gt;=N($G$2),N(BG$2)&lt;=N($E18)),BG$2,"")</f>
        <v/>
      </c>
      <c r="BH18" s="25">
        <f>IF(AND(ISNUMBER($E18),N(BH$2)&gt;=N($G$2),N(BH$2)&lt;=N($E18)),BH$2,"")</f>
        <v/>
      </c>
      <c r="BI18" s="25">
        <f>IF(AND(ISNUMBER($E18),N(BI$2)&gt;=N($G$2),N(BI$2)&lt;=N($E18)),BI$2,"")</f>
        <v/>
      </c>
      <c r="BJ18" s="25">
        <f>IF(AND(ISNUMBER($E18),N(BJ$2)&gt;=N($G$2),N(BJ$2)&lt;=N($E18)),BJ$2,"")</f>
        <v/>
      </c>
      <c r="BK18" s="25">
        <f>IF(AND(ISNUMBER($E18),N(BK$2)&gt;=N($G$2),N(BK$2)&lt;=N($E18)),BK$2,"")</f>
        <v/>
      </c>
      <c r="BL18" s="25">
        <f>IF(AND(ISNUMBER($E18),N(BL$2)&gt;=N($G$2),N(BL$2)&lt;=N($E18)),BL$2,"")</f>
        <v/>
      </c>
      <c r="BM18" s="25">
        <f>IF(AND(ISNUMBER($E18),N(BM$2)&gt;=N($G$2),N(BM$2)&lt;=N($E18)),BM$2,"")</f>
        <v/>
      </c>
      <c r="BN18" s="25">
        <f>IF(AND(ISNUMBER($E18),N(BN$2)&gt;=N($G$2),N(BN$2)&lt;=N($E18)),BN$2,"")</f>
        <v/>
      </c>
      <c r="BO18" s="25">
        <f>IF(AND(ISNUMBER($E18),N(BO$2)&gt;=N($G$2),N(BO$2)&lt;=N($E18)),BO$2,"")</f>
        <v/>
      </c>
    </row>
    <row r="19" ht="20" customHeight="1">
      <c r="A19" s="21" t="inlineStr">
        <is>
          <t>预估</t>
        </is>
      </c>
      <c r="B19" s="21" t="inlineStr">
        <is>
          <t>第一期</t>
        </is>
      </c>
      <c r="C19" s="22" t="inlineStr">
        <is>
          <t>PAB060·排针机安装调试</t>
        </is>
      </c>
      <c r="D19" s="23">
        <f>'时间节点计划表'!E10</f>
        <v/>
      </c>
      <c r="E19" s="23">
        <f>IF(COUNT('时间节点计划表'!F10),'时间节点计划表'!F10,"")</f>
        <v/>
      </c>
      <c r="F19" s="24" t="inlineStr"/>
      <c r="G19" s="25">
        <f>IF(AND(ISNUMBER($D19),N(G$2)&gt;=N($G$2),N(G$2)&lt;=N($D19)),G$2,"")</f>
        <v/>
      </c>
      <c r="H19" s="25">
        <f>IF(AND(ISNUMBER($D19),N(H$2)&gt;=N($G$2),N(H$2)&lt;=N($D19)),H$2,"")</f>
        <v/>
      </c>
      <c r="I19" s="25">
        <f>IF(AND(ISNUMBER($D19),N(I$2)&gt;=N($G$2),N(I$2)&lt;=N($D19)),I$2,"")</f>
        <v/>
      </c>
      <c r="J19" s="25">
        <f>IF(AND(ISNUMBER($D19),N(J$2)&gt;=N($G$2),N(J$2)&lt;=N($D19)),J$2,"")</f>
        <v/>
      </c>
      <c r="K19" s="25">
        <f>IF(AND(ISNUMBER($D19),N(K$2)&gt;=N($G$2),N(K$2)&lt;=N($D19)),K$2,"")</f>
        <v/>
      </c>
      <c r="L19" s="25">
        <f>IF(AND(ISNUMBER($D19),N(L$2)&gt;=N($G$2),N(L$2)&lt;=N($D19)),L$2,"")</f>
        <v/>
      </c>
      <c r="M19" s="25">
        <f>IF(AND(ISNUMBER($D19),N(M$2)&gt;=N($G$2),N(M$2)&lt;=N($D19)),M$2,"")</f>
        <v/>
      </c>
      <c r="N19" s="25">
        <f>IF(AND(ISNUMBER($D19),N(N$2)&gt;=N($G$2),N(N$2)&lt;=N($D19)),N$2,"")</f>
        <v/>
      </c>
      <c r="O19" s="25">
        <f>IF(AND(ISNUMBER($D19),N(O$2)&gt;=N($G$2),N(O$2)&lt;=N($D19)),O$2,"")</f>
        <v/>
      </c>
      <c r="P19" s="25">
        <f>IF(AND(ISNUMBER($D19),N(P$2)&gt;=N($G$2),N(P$2)&lt;=N($D19)),P$2,"")</f>
        <v/>
      </c>
      <c r="Q19" s="25">
        <f>IF(AND(ISNUMBER($D19),N(Q$2)&gt;=N($G$2),N(Q$2)&lt;=N($D19)),Q$2,"")</f>
        <v/>
      </c>
      <c r="R19" s="25">
        <f>IF(AND(ISNUMBER($D19),N(R$2)&gt;=N($G$2),N(R$2)&lt;=N($D19)),R$2,"")</f>
        <v/>
      </c>
      <c r="S19" s="25">
        <f>IF(AND(ISNUMBER($D19),N(S$2)&gt;=N($G$2),N(S$2)&lt;=N($D19)),S$2,"")</f>
        <v/>
      </c>
      <c r="T19" s="25">
        <f>IF(AND(ISNUMBER($D19),N(T$2)&gt;=N($G$2),N(T$2)&lt;=N($D19)),T$2,"")</f>
        <v/>
      </c>
      <c r="U19" s="25">
        <f>IF(AND(ISNUMBER($D19),N(U$2)&gt;=N($G$2),N(U$2)&lt;=N($D19)),U$2,"")</f>
        <v/>
      </c>
      <c r="V19" s="25">
        <f>IF(AND(ISNUMBER($D19),N(V$2)&gt;=N($G$2),N(V$2)&lt;=N($D19)),V$2,"")</f>
        <v/>
      </c>
      <c r="W19" s="25">
        <f>IF(AND(ISNUMBER($D19),N(W$2)&gt;=N($G$2),N(W$2)&lt;=N($D19)),W$2,"")</f>
        <v/>
      </c>
      <c r="X19" s="25">
        <f>IF(AND(ISNUMBER($D19),N(X$2)&gt;=N($G$2),N(X$2)&lt;=N($D19)),X$2,"")</f>
        <v/>
      </c>
      <c r="Y19" s="25">
        <f>IF(AND(ISNUMBER($D19),N(Y$2)&gt;=N($G$2),N(Y$2)&lt;=N($D19)),Y$2,"")</f>
        <v/>
      </c>
      <c r="Z19" s="25">
        <f>IF(AND(ISNUMBER($D19),N(Z$2)&gt;=N($G$2),N(Z$2)&lt;=N($D19)),Z$2,"")</f>
        <v/>
      </c>
      <c r="AA19" s="25">
        <f>IF(AND(ISNUMBER($D19),N(AA$2)&gt;=N($G$2),N(AA$2)&lt;=N($D19)),AA$2,"")</f>
        <v/>
      </c>
      <c r="AB19" s="25">
        <f>IF(AND(ISNUMBER($D19),N(AB$2)&gt;=N($G$2),N(AB$2)&lt;=N($D19)),AB$2,"")</f>
        <v/>
      </c>
      <c r="AC19" s="25">
        <f>IF(AND(ISNUMBER($D19),N(AC$2)&gt;=N($G$2),N(AC$2)&lt;=N($D19)),AC$2,"")</f>
        <v/>
      </c>
      <c r="AD19" s="25">
        <f>IF(AND(ISNUMBER($D19),N(AD$2)&gt;=N($G$2),N(AD$2)&lt;=N($D19)),AD$2,"")</f>
        <v/>
      </c>
      <c r="AE19" s="25">
        <f>IF(AND(ISNUMBER($D19),N(AE$2)&gt;=N($G$2),N(AE$2)&lt;=N($D19)),AE$2,"")</f>
        <v/>
      </c>
      <c r="AF19" s="25">
        <f>IF(AND(ISNUMBER($D19),N(AF$2)&gt;=N($G$2),N(AF$2)&lt;=N($D19)),AF$2,"")</f>
        <v/>
      </c>
      <c r="AG19" s="25">
        <f>IF(AND(ISNUMBER($D19),N(AG$2)&gt;=N($G$2),N(AG$2)&lt;=N($D19)),AG$2,"")</f>
        <v/>
      </c>
      <c r="AH19" s="25">
        <f>IF(AND(ISNUMBER($D19),N(AH$2)&gt;=N($G$2),N(AH$2)&lt;=N($D19)),AH$2,"")</f>
        <v/>
      </c>
      <c r="AI19" s="25">
        <f>IF(AND(ISNUMBER($D19),N(AI$2)&gt;=N($G$2),N(AI$2)&lt;=N($D19)),AI$2,"")</f>
        <v/>
      </c>
      <c r="AJ19" s="25">
        <f>IF(AND(ISNUMBER($D19),N(AJ$2)&gt;=N($G$2),N(AJ$2)&lt;=N($D19)),AJ$2,"")</f>
        <v/>
      </c>
      <c r="AK19" s="25">
        <f>IF(AND(ISNUMBER($D19),N(AK$2)&gt;=N($G$2),N(AK$2)&lt;=N($D19)),AK$2,"")</f>
        <v/>
      </c>
      <c r="AL19" s="25">
        <f>IF(AND(ISNUMBER($D19),N(AL$2)&gt;=N($G$2),N(AL$2)&lt;=N($D19)),AL$2,"")</f>
        <v/>
      </c>
      <c r="AM19" s="25">
        <f>IF(AND(ISNUMBER($D19),N(AM$2)&gt;=N($G$2),N(AM$2)&lt;=N($D19)),AM$2,"")</f>
        <v/>
      </c>
      <c r="AN19" s="25">
        <f>IF(AND(ISNUMBER($D19),N(AN$2)&gt;=N($G$2),N(AN$2)&lt;=N($D19)),AN$2,"")</f>
        <v/>
      </c>
      <c r="AO19" s="25">
        <f>IF(AND(ISNUMBER($D19),N(AO$2)&gt;=N($G$2),N(AO$2)&lt;=N($D19)),AO$2,"")</f>
        <v/>
      </c>
      <c r="AP19" s="25">
        <f>IF(AND(ISNUMBER($D19),N(AP$2)&gt;=N($G$2),N(AP$2)&lt;=N($D19)),AP$2,"")</f>
        <v/>
      </c>
      <c r="AQ19" s="25">
        <f>IF(AND(ISNUMBER($D19),N(AQ$2)&gt;=N($G$2),N(AQ$2)&lt;=N($D19)),AQ$2,"")</f>
        <v/>
      </c>
      <c r="AR19" s="25">
        <f>IF(AND(ISNUMBER($D19),N(AR$2)&gt;=N($G$2),N(AR$2)&lt;=N($D19)),AR$2,"")</f>
        <v/>
      </c>
      <c r="AS19" s="25">
        <f>IF(AND(ISNUMBER($D19),N(AS$2)&gt;=N($G$2),N(AS$2)&lt;=N($D19)),AS$2,"")</f>
        <v/>
      </c>
      <c r="AT19" s="25">
        <f>IF(AND(ISNUMBER($D19),N(AT$2)&gt;=N($G$2),N(AT$2)&lt;=N($D19)),AT$2,"")</f>
        <v/>
      </c>
      <c r="AU19" s="25">
        <f>IF(AND(ISNUMBER($D19),N(AU$2)&gt;=N($G$2),N(AU$2)&lt;=N($D19)),AU$2,"")</f>
        <v/>
      </c>
      <c r="AV19" s="25">
        <f>IF(AND(ISNUMBER($D19),N(AV$2)&gt;=N($G$2),N(AV$2)&lt;=N($D19)),AV$2,"")</f>
        <v/>
      </c>
      <c r="AW19" s="25">
        <f>IF(AND(ISNUMBER($D19),N(AW$2)&gt;=N($G$2),N(AW$2)&lt;=N($D19)),AW$2,"")</f>
        <v/>
      </c>
      <c r="AX19" s="25">
        <f>IF(AND(ISNUMBER($D19),N(AX$2)&gt;=N($G$2),N(AX$2)&lt;=N($D19)),AX$2,"")</f>
        <v/>
      </c>
      <c r="AY19" s="25">
        <f>IF(AND(ISNUMBER($D19),N(AY$2)&gt;=N($G$2),N(AY$2)&lt;=N($D19)),AY$2,"")</f>
        <v/>
      </c>
      <c r="AZ19" s="25">
        <f>IF(AND(ISNUMBER($D19),N(AZ$2)&gt;=N($G$2),N(AZ$2)&lt;=N($D19)),AZ$2,"")</f>
        <v/>
      </c>
      <c r="BA19" s="25">
        <f>IF(AND(ISNUMBER($D19),N(BA$2)&gt;=N($G$2),N(BA$2)&lt;=N($D19)),BA$2,"")</f>
        <v/>
      </c>
      <c r="BB19" s="25">
        <f>IF(AND(ISNUMBER($D19),N(BB$2)&gt;=N($G$2),N(BB$2)&lt;=N($D19)),BB$2,"")</f>
        <v/>
      </c>
      <c r="BC19" s="25">
        <f>IF(AND(ISNUMBER($D19),N(BC$2)&gt;=N($G$2),N(BC$2)&lt;=N($D19)),BC$2,"")</f>
        <v/>
      </c>
      <c r="BD19" s="25">
        <f>IF(AND(ISNUMBER($D19),N(BD$2)&gt;=N($G$2),N(BD$2)&lt;=N($D19)),BD$2,"")</f>
        <v/>
      </c>
      <c r="BE19" s="25">
        <f>IF(AND(ISNUMBER($D19),N(BE$2)&gt;=N($G$2),N(BE$2)&lt;=N($D19)),BE$2,"")</f>
        <v/>
      </c>
      <c r="BF19" s="25">
        <f>IF(AND(ISNUMBER($D19),N(BF$2)&gt;=N($G$2),N(BF$2)&lt;=N($D19)),BF$2,"")</f>
        <v/>
      </c>
      <c r="BG19" s="25">
        <f>IF(AND(ISNUMBER($D19),N(BG$2)&gt;=N($G$2),N(BG$2)&lt;=N($D19)),BG$2,"")</f>
        <v/>
      </c>
      <c r="BH19" s="25">
        <f>IF(AND(ISNUMBER($D19),N(BH$2)&gt;=N($G$2),N(BH$2)&lt;=N($D19)),BH$2,"")</f>
        <v/>
      </c>
      <c r="BI19" s="25">
        <f>IF(AND(ISNUMBER($D19),N(BI$2)&gt;=N($G$2),N(BI$2)&lt;=N($D19)),BI$2,"")</f>
        <v/>
      </c>
      <c r="BJ19" s="25">
        <f>IF(AND(ISNUMBER($D19),N(BJ$2)&gt;=N($G$2),N(BJ$2)&lt;=N($D19)),BJ$2,"")</f>
        <v/>
      </c>
      <c r="BK19" s="25">
        <f>IF(AND(ISNUMBER($D19),N(BK$2)&gt;=N($G$2),N(BK$2)&lt;=N($D19)),BK$2,"")</f>
        <v/>
      </c>
      <c r="BL19" s="25">
        <f>IF(AND(ISNUMBER($D19),N(BL$2)&gt;=N($G$2),N(BL$2)&lt;=N($D19)),BL$2,"")</f>
        <v/>
      </c>
      <c r="BM19" s="25">
        <f>IF(AND(ISNUMBER($D19),N(BM$2)&gt;=N($G$2),N(BM$2)&lt;=N($D19)),BM$2,"")</f>
        <v/>
      </c>
      <c r="BN19" s="25">
        <f>IF(AND(ISNUMBER($D19),N(BN$2)&gt;=N($G$2),N(BN$2)&lt;=N($D19)),BN$2,"")</f>
        <v/>
      </c>
      <c r="BO19" s="25">
        <f>IF(AND(ISNUMBER($D19),N(BO$2)&gt;=N($G$2),N(BO$2)&lt;=N($D19)),BO$2,"")</f>
        <v/>
      </c>
    </row>
    <row r="20" ht="20" customHeight="1">
      <c r="A20" s="26" t="inlineStr">
        <is>
          <t>实际</t>
        </is>
      </c>
      <c r="B20" s="26" t="inlineStr">
        <is>
          <t>第一期</t>
        </is>
      </c>
      <c r="C20" s="27" t="inlineStr">
        <is>
          <t>PAB060·排针机安装调试</t>
        </is>
      </c>
      <c r="D20" s="28">
        <f>'时间节点计划表'!E10</f>
        <v/>
      </c>
      <c r="E20" s="28">
        <f>IF(COUNT('时间节点计划表'!F10),'时间节点计划表'!F10,"")</f>
        <v/>
      </c>
      <c r="F20" s="29">
        <f>IF(OR(D20="",E20=""),"待填",E20-D20)</f>
        <v/>
      </c>
      <c r="G20" s="25">
        <f>IF(AND(ISNUMBER($E20),N(G$2)&gt;=N($G$2),N(G$2)&lt;=N($E20)),G$2,"")</f>
        <v/>
      </c>
      <c r="H20" s="25">
        <f>IF(AND(ISNUMBER($E20),N(H$2)&gt;=N($G$2),N(H$2)&lt;=N($E20)),H$2,"")</f>
        <v/>
      </c>
      <c r="I20" s="25">
        <f>IF(AND(ISNUMBER($E20),N(I$2)&gt;=N($G$2),N(I$2)&lt;=N($E20)),I$2,"")</f>
        <v/>
      </c>
      <c r="J20" s="25">
        <f>IF(AND(ISNUMBER($E20),N(J$2)&gt;=N($G$2),N(J$2)&lt;=N($E20)),J$2,"")</f>
        <v/>
      </c>
      <c r="K20" s="25">
        <f>IF(AND(ISNUMBER($E20),N(K$2)&gt;=N($G$2),N(K$2)&lt;=N($E20)),K$2,"")</f>
        <v/>
      </c>
      <c r="L20" s="25">
        <f>IF(AND(ISNUMBER($E20),N(L$2)&gt;=N($G$2),N(L$2)&lt;=N($E20)),L$2,"")</f>
        <v/>
      </c>
      <c r="M20" s="25">
        <f>IF(AND(ISNUMBER($E20),N(M$2)&gt;=N($G$2),N(M$2)&lt;=N($E20)),M$2,"")</f>
        <v/>
      </c>
      <c r="N20" s="25">
        <f>IF(AND(ISNUMBER($E20),N(N$2)&gt;=N($G$2),N(N$2)&lt;=N($E20)),N$2,"")</f>
        <v/>
      </c>
      <c r="O20" s="25">
        <f>IF(AND(ISNUMBER($E20),N(O$2)&gt;=N($G$2),N(O$2)&lt;=N($E20)),O$2,"")</f>
        <v/>
      </c>
      <c r="P20" s="25">
        <f>IF(AND(ISNUMBER($E20),N(P$2)&gt;=N($G$2),N(P$2)&lt;=N($E20)),P$2,"")</f>
        <v/>
      </c>
      <c r="Q20" s="25">
        <f>IF(AND(ISNUMBER($E20),N(Q$2)&gt;=N($G$2),N(Q$2)&lt;=N($E20)),Q$2,"")</f>
        <v/>
      </c>
      <c r="R20" s="25">
        <f>IF(AND(ISNUMBER($E20),N(R$2)&gt;=N($G$2),N(R$2)&lt;=N($E20)),R$2,"")</f>
        <v/>
      </c>
      <c r="S20" s="25">
        <f>IF(AND(ISNUMBER($E20),N(S$2)&gt;=N($G$2),N(S$2)&lt;=N($E20)),S$2,"")</f>
        <v/>
      </c>
      <c r="T20" s="25">
        <f>IF(AND(ISNUMBER($E20),N(T$2)&gt;=N($G$2),N(T$2)&lt;=N($E20)),T$2,"")</f>
        <v/>
      </c>
      <c r="U20" s="25">
        <f>IF(AND(ISNUMBER($E20),N(U$2)&gt;=N($G$2),N(U$2)&lt;=N($E20)),U$2,"")</f>
        <v/>
      </c>
      <c r="V20" s="25">
        <f>IF(AND(ISNUMBER($E20),N(V$2)&gt;=N($G$2),N(V$2)&lt;=N($E20)),V$2,"")</f>
        <v/>
      </c>
      <c r="W20" s="25">
        <f>IF(AND(ISNUMBER($E20),N(W$2)&gt;=N($G$2),N(W$2)&lt;=N($E20)),W$2,"")</f>
        <v/>
      </c>
      <c r="X20" s="25">
        <f>IF(AND(ISNUMBER($E20),N(X$2)&gt;=N($G$2),N(X$2)&lt;=N($E20)),X$2,"")</f>
        <v/>
      </c>
      <c r="Y20" s="25">
        <f>IF(AND(ISNUMBER($E20),N(Y$2)&gt;=N($G$2),N(Y$2)&lt;=N($E20)),Y$2,"")</f>
        <v/>
      </c>
      <c r="Z20" s="25">
        <f>IF(AND(ISNUMBER($E20),N(Z$2)&gt;=N($G$2),N(Z$2)&lt;=N($E20)),Z$2,"")</f>
        <v/>
      </c>
      <c r="AA20" s="25">
        <f>IF(AND(ISNUMBER($E20),N(AA$2)&gt;=N($G$2),N(AA$2)&lt;=N($E20)),AA$2,"")</f>
        <v/>
      </c>
      <c r="AB20" s="25">
        <f>IF(AND(ISNUMBER($E20),N(AB$2)&gt;=N($G$2),N(AB$2)&lt;=N($E20)),AB$2,"")</f>
        <v/>
      </c>
      <c r="AC20" s="25">
        <f>IF(AND(ISNUMBER($E20),N(AC$2)&gt;=N($G$2),N(AC$2)&lt;=N($E20)),AC$2,"")</f>
        <v/>
      </c>
      <c r="AD20" s="25">
        <f>IF(AND(ISNUMBER($E20),N(AD$2)&gt;=N($G$2),N(AD$2)&lt;=N($E20)),AD$2,"")</f>
        <v/>
      </c>
      <c r="AE20" s="25">
        <f>IF(AND(ISNUMBER($E20),N(AE$2)&gt;=N($G$2),N(AE$2)&lt;=N($E20)),AE$2,"")</f>
        <v/>
      </c>
      <c r="AF20" s="25">
        <f>IF(AND(ISNUMBER($E20),N(AF$2)&gt;=N($G$2),N(AF$2)&lt;=N($E20)),AF$2,"")</f>
        <v/>
      </c>
      <c r="AG20" s="25">
        <f>IF(AND(ISNUMBER($E20),N(AG$2)&gt;=N($G$2),N(AG$2)&lt;=N($E20)),AG$2,"")</f>
        <v/>
      </c>
      <c r="AH20" s="25">
        <f>IF(AND(ISNUMBER($E20),N(AH$2)&gt;=N($G$2),N(AH$2)&lt;=N($E20)),AH$2,"")</f>
        <v/>
      </c>
      <c r="AI20" s="25">
        <f>IF(AND(ISNUMBER($E20),N(AI$2)&gt;=N($G$2),N(AI$2)&lt;=N($E20)),AI$2,"")</f>
        <v/>
      </c>
      <c r="AJ20" s="25">
        <f>IF(AND(ISNUMBER($E20),N(AJ$2)&gt;=N($G$2),N(AJ$2)&lt;=N($E20)),AJ$2,"")</f>
        <v/>
      </c>
      <c r="AK20" s="25">
        <f>IF(AND(ISNUMBER($E20),N(AK$2)&gt;=N($G$2),N(AK$2)&lt;=N($E20)),AK$2,"")</f>
        <v/>
      </c>
      <c r="AL20" s="25">
        <f>IF(AND(ISNUMBER($E20),N(AL$2)&gt;=N($G$2),N(AL$2)&lt;=N($E20)),AL$2,"")</f>
        <v/>
      </c>
      <c r="AM20" s="25">
        <f>IF(AND(ISNUMBER($E20),N(AM$2)&gt;=N($G$2),N(AM$2)&lt;=N($E20)),AM$2,"")</f>
        <v/>
      </c>
      <c r="AN20" s="25">
        <f>IF(AND(ISNUMBER($E20),N(AN$2)&gt;=N($G$2),N(AN$2)&lt;=N($E20)),AN$2,"")</f>
        <v/>
      </c>
      <c r="AO20" s="25">
        <f>IF(AND(ISNUMBER($E20),N(AO$2)&gt;=N($G$2),N(AO$2)&lt;=N($E20)),AO$2,"")</f>
        <v/>
      </c>
      <c r="AP20" s="25">
        <f>IF(AND(ISNUMBER($E20),N(AP$2)&gt;=N($G$2),N(AP$2)&lt;=N($E20)),AP$2,"")</f>
        <v/>
      </c>
      <c r="AQ20" s="25">
        <f>IF(AND(ISNUMBER($E20),N(AQ$2)&gt;=N($G$2),N(AQ$2)&lt;=N($E20)),AQ$2,"")</f>
        <v/>
      </c>
      <c r="AR20" s="25">
        <f>IF(AND(ISNUMBER($E20),N(AR$2)&gt;=N($G$2),N(AR$2)&lt;=N($E20)),AR$2,"")</f>
        <v/>
      </c>
      <c r="AS20" s="25">
        <f>IF(AND(ISNUMBER($E20),N(AS$2)&gt;=N($G$2),N(AS$2)&lt;=N($E20)),AS$2,"")</f>
        <v/>
      </c>
      <c r="AT20" s="25">
        <f>IF(AND(ISNUMBER($E20),N(AT$2)&gt;=N($G$2),N(AT$2)&lt;=N($E20)),AT$2,"")</f>
        <v/>
      </c>
      <c r="AU20" s="25">
        <f>IF(AND(ISNUMBER($E20),N(AU$2)&gt;=N($G$2),N(AU$2)&lt;=N($E20)),AU$2,"")</f>
        <v/>
      </c>
      <c r="AV20" s="25">
        <f>IF(AND(ISNUMBER($E20),N(AV$2)&gt;=N($G$2),N(AV$2)&lt;=N($E20)),AV$2,"")</f>
        <v/>
      </c>
      <c r="AW20" s="25">
        <f>IF(AND(ISNUMBER($E20),N(AW$2)&gt;=N($G$2),N(AW$2)&lt;=N($E20)),AW$2,"")</f>
        <v/>
      </c>
      <c r="AX20" s="25">
        <f>IF(AND(ISNUMBER($E20),N(AX$2)&gt;=N($G$2),N(AX$2)&lt;=N($E20)),AX$2,"")</f>
        <v/>
      </c>
      <c r="AY20" s="25">
        <f>IF(AND(ISNUMBER($E20),N(AY$2)&gt;=N($G$2),N(AY$2)&lt;=N($E20)),AY$2,"")</f>
        <v/>
      </c>
      <c r="AZ20" s="25">
        <f>IF(AND(ISNUMBER($E20),N(AZ$2)&gt;=N($G$2),N(AZ$2)&lt;=N($E20)),AZ$2,"")</f>
        <v/>
      </c>
      <c r="BA20" s="25">
        <f>IF(AND(ISNUMBER($E20),N(BA$2)&gt;=N($G$2),N(BA$2)&lt;=N($E20)),BA$2,"")</f>
        <v/>
      </c>
      <c r="BB20" s="25">
        <f>IF(AND(ISNUMBER($E20),N(BB$2)&gt;=N($G$2),N(BB$2)&lt;=N($E20)),BB$2,"")</f>
        <v/>
      </c>
      <c r="BC20" s="25">
        <f>IF(AND(ISNUMBER($E20),N(BC$2)&gt;=N($G$2),N(BC$2)&lt;=N($E20)),BC$2,"")</f>
        <v/>
      </c>
      <c r="BD20" s="25">
        <f>IF(AND(ISNUMBER($E20),N(BD$2)&gt;=N($G$2),N(BD$2)&lt;=N($E20)),BD$2,"")</f>
        <v/>
      </c>
      <c r="BE20" s="25">
        <f>IF(AND(ISNUMBER($E20),N(BE$2)&gt;=N($G$2),N(BE$2)&lt;=N($E20)),BE$2,"")</f>
        <v/>
      </c>
      <c r="BF20" s="25">
        <f>IF(AND(ISNUMBER($E20),N(BF$2)&gt;=N($G$2),N(BF$2)&lt;=N($E20)),BF$2,"")</f>
        <v/>
      </c>
      <c r="BG20" s="25">
        <f>IF(AND(ISNUMBER($E20),N(BG$2)&gt;=N($G$2),N(BG$2)&lt;=N($E20)),BG$2,"")</f>
        <v/>
      </c>
      <c r="BH20" s="25">
        <f>IF(AND(ISNUMBER($E20),N(BH$2)&gt;=N($G$2),N(BH$2)&lt;=N($E20)),BH$2,"")</f>
        <v/>
      </c>
      <c r="BI20" s="25">
        <f>IF(AND(ISNUMBER($E20),N(BI$2)&gt;=N($G$2),N(BI$2)&lt;=N($E20)),BI$2,"")</f>
        <v/>
      </c>
      <c r="BJ20" s="25">
        <f>IF(AND(ISNUMBER($E20),N(BJ$2)&gt;=N($G$2),N(BJ$2)&lt;=N($E20)),BJ$2,"")</f>
        <v/>
      </c>
      <c r="BK20" s="25">
        <f>IF(AND(ISNUMBER($E20),N(BK$2)&gt;=N($G$2),N(BK$2)&lt;=N($E20)),BK$2,"")</f>
        <v/>
      </c>
      <c r="BL20" s="25">
        <f>IF(AND(ISNUMBER($E20),N(BL$2)&gt;=N($G$2),N(BL$2)&lt;=N($E20)),BL$2,"")</f>
        <v/>
      </c>
      <c r="BM20" s="25">
        <f>IF(AND(ISNUMBER($E20),N(BM$2)&gt;=N($G$2),N(BM$2)&lt;=N($E20)),BM$2,"")</f>
        <v/>
      </c>
      <c r="BN20" s="25">
        <f>IF(AND(ISNUMBER($E20),N(BN$2)&gt;=N($G$2),N(BN$2)&lt;=N($E20)),BN$2,"")</f>
        <v/>
      </c>
      <c r="BO20" s="25">
        <f>IF(AND(ISNUMBER($E20),N(BO$2)&gt;=N($G$2),N(BO$2)&lt;=N($E20)),BO$2,"")</f>
        <v/>
      </c>
    </row>
    <row r="21" ht="20" customHeight="1">
      <c r="A21" s="21" t="inlineStr">
        <is>
          <t>预估</t>
        </is>
      </c>
      <c r="B21" s="21" t="inlineStr">
        <is>
          <t>第一期</t>
        </is>
      </c>
      <c r="C21" s="22" t="inlineStr">
        <is>
          <t>PAB060·单级样机</t>
        </is>
      </c>
      <c r="D21" s="23">
        <f>'时间节点计划表'!E11</f>
        <v/>
      </c>
      <c r="E21" s="23">
        <f>IF(COUNT('时间节点计划表'!F11),'时间节点计划表'!F11,"")</f>
        <v/>
      </c>
      <c r="F21" s="24" t="inlineStr"/>
      <c r="G21" s="25">
        <f>IF(AND(ISNUMBER($D21),N(G$2)&gt;=N($G$2),N(G$2)&lt;=N($D21)),G$2,"")</f>
        <v/>
      </c>
      <c r="H21" s="25">
        <f>IF(AND(ISNUMBER($D21),N(H$2)&gt;=N($G$2),N(H$2)&lt;=N($D21)),H$2,"")</f>
        <v/>
      </c>
      <c r="I21" s="25">
        <f>IF(AND(ISNUMBER($D21),N(I$2)&gt;=N($G$2),N(I$2)&lt;=N($D21)),I$2,"")</f>
        <v/>
      </c>
      <c r="J21" s="25">
        <f>IF(AND(ISNUMBER($D21),N(J$2)&gt;=N($G$2),N(J$2)&lt;=N($D21)),J$2,"")</f>
        <v/>
      </c>
      <c r="K21" s="25">
        <f>IF(AND(ISNUMBER($D21),N(K$2)&gt;=N($G$2),N(K$2)&lt;=N($D21)),K$2,"")</f>
        <v/>
      </c>
      <c r="L21" s="25">
        <f>IF(AND(ISNUMBER($D21),N(L$2)&gt;=N($G$2),N(L$2)&lt;=N($D21)),L$2,"")</f>
        <v/>
      </c>
      <c r="M21" s="25">
        <f>IF(AND(ISNUMBER($D21),N(M$2)&gt;=N($G$2),N(M$2)&lt;=N($D21)),M$2,"")</f>
        <v/>
      </c>
      <c r="N21" s="25">
        <f>IF(AND(ISNUMBER($D21),N(N$2)&gt;=N($G$2),N(N$2)&lt;=N($D21)),N$2,"")</f>
        <v/>
      </c>
      <c r="O21" s="25">
        <f>IF(AND(ISNUMBER($D21),N(O$2)&gt;=N($G$2),N(O$2)&lt;=N($D21)),O$2,"")</f>
        <v/>
      </c>
      <c r="P21" s="25">
        <f>IF(AND(ISNUMBER($D21),N(P$2)&gt;=N($G$2),N(P$2)&lt;=N($D21)),P$2,"")</f>
        <v/>
      </c>
      <c r="Q21" s="25">
        <f>IF(AND(ISNUMBER($D21),N(Q$2)&gt;=N($G$2),N(Q$2)&lt;=N($D21)),Q$2,"")</f>
        <v/>
      </c>
      <c r="R21" s="25">
        <f>IF(AND(ISNUMBER($D21),N(R$2)&gt;=N($G$2),N(R$2)&lt;=N($D21)),R$2,"")</f>
        <v/>
      </c>
      <c r="S21" s="25">
        <f>IF(AND(ISNUMBER($D21),N(S$2)&gt;=N($G$2),N(S$2)&lt;=N($D21)),S$2,"")</f>
        <v/>
      </c>
      <c r="T21" s="25">
        <f>IF(AND(ISNUMBER($D21),N(T$2)&gt;=N($G$2),N(T$2)&lt;=N($D21)),T$2,"")</f>
        <v/>
      </c>
      <c r="U21" s="25">
        <f>IF(AND(ISNUMBER($D21),N(U$2)&gt;=N($G$2),N(U$2)&lt;=N($D21)),U$2,"")</f>
        <v/>
      </c>
      <c r="V21" s="25">
        <f>IF(AND(ISNUMBER($D21),N(V$2)&gt;=N($G$2),N(V$2)&lt;=N($D21)),V$2,"")</f>
        <v/>
      </c>
      <c r="W21" s="25">
        <f>IF(AND(ISNUMBER($D21),N(W$2)&gt;=N($G$2),N(W$2)&lt;=N($D21)),W$2,"")</f>
        <v/>
      </c>
      <c r="X21" s="25">
        <f>IF(AND(ISNUMBER($D21),N(X$2)&gt;=N($G$2),N(X$2)&lt;=N($D21)),X$2,"")</f>
        <v/>
      </c>
      <c r="Y21" s="25">
        <f>IF(AND(ISNUMBER($D21),N(Y$2)&gt;=N($G$2),N(Y$2)&lt;=N($D21)),Y$2,"")</f>
        <v/>
      </c>
      <c r="Z21" s="25">
        <f>IF(AND(ISNUMBER($D21),N(Z$2)&gt;=N($G$2),N(Z$2)&lt;=N($D21)),Z$2,"")</f>
        <v/>
      </c>
      <c r="AA21" s="25">
        <f>IF(AND(ISNUMBER($D21),N(AA$2)&gt;=N($G$2),N(AA$2)&lt;=N($D21)),AA$2,"")</f>
        <v/>
      </c>
      <c r="AB21" s="25">
        <f>IF(AND(ISNUMBER($D21),N(AB$2)&gt;=N($G$2),N(AB$2)&lt;=N($D21)),AB$2,"")</f>
        <v/>
      </c>
      <c r="AC21" s="25">
        <f>IF(AND(ISNUMBER($D21),N(AC$2)&gt;=N($G$2),N(AC$2)&lt;=N($D21)),AC$2,"")</f>
        <v/>
      </c>
      <c r="AD21" s="25">
        <f>IF(AND(ISNUMBER($D21),N(AD$2)&gt;=N($G$2),N(AD$2)&lt;=N($D21)),AD$2,"")</f>
        <v/>
      </c>
      <c r="AE21" s="25">
        <f>IF(AND(ISNUMBER($D21),N(AE$2)&gt;=N($G$2),N(AE$2)&lt;=N($D21)),AE$2,"")</f>
        <v/>
      </c>
      <c r="AF21" s="25">
        <f>IF(AND(ISNUMBER($D21),N(AF$2)&gt;=N($G$2),N(AF$2)&lt;=N($D21)),AF$2,"")</f>
        <v/>
      </c>
      <c r="AG21" s="25">
        <f>IF(AND(ISNUMBER($D21),N(AG$2)&gt;=N($G$2),N(AG$2)&lt;=N($D21)),AG$2,"")</f>
        <v/>
      </c>
      <c r="AH21" s="25">
        <f>IF(AND(ISNUMBER($D21),N(AH$2)&gt;=N($G$2),N(AH$2)&lt;=N($D21)),AH$2,"")</f>
        <v/>
      </c>
      <c r="AI21" s="25">
        <f>IF(AND(ISNUMBER($D21),N(AI$2)&gt;=N($G$2),N(AI$2)&lt;=N($D21)),AI$2,"")</f>
        <v/>
      </c>
      <c r="AJ21" s="25">
        <f>IF(AND(ISNUMBER($D21),N(AJ$2)&gt;=N($G$2),N(AJ$2)&lt;=N($D21)),AJ$2,"")</f>
        <v/>
      </c>
      <c r="AK21" s="25">
        <f>IF(AND(ISNUMBER($D21),N(AK$2)&gt;=N($G$2),N(AK$2)&lt;=N($D21)),AK$2,"")</f>
        <v/>
      </c>
      <c r="AL21" s="25">
        <f>IF(AND(ISNUMBER($D21),N(AL$2)&gt;=N($G$2),N(AL$2)&lt;=N($D21)),AL$2,"")</f>
        <v/>
      </c>
      <c r="AM21" s="25">
        <f>IF(AND(ISNUMBER($D21),N(AM$2)&gt;=N($G$2),N(AM$2)&lt;=N($D21)),AM$2,"")</f>
        <v/>
      </c>
      <c r="AN21" s="25">
        <f>IF(AND(ISNUMBER($D21),N(AN$2)&gt;=N($G$2),N(AN$2)&lt;=N($D21)),AN$2,"")</f>
        <v/>
      </c>
      <c r="AO21" s="25">
        <f>IF(AND(ISNUMBER($D21),N(AO$2)&gt;=N($G$2),N(AO$2)&lt;=N($D21)),AO$2,"")</f>
        <v/>
      </c>
      <c r="AP21" s="25">
        <f>IF(AND(ISNUMBER($D21),N(AP$2)&gt;=N($G$2),N(AP$2)&lt;=N($D21)),AP$2,"")</f>
        <v/>
      </c>
      <c r="AQ21" s="25">
        <f>IF(AND(ISNUMBER($D21),N(AQ$2)&gt;=N($G$2),N(AQ$2)&lt;=N($D21)),AQ$2,"")</f>
        <v/>
      </c>
      <c r="AR21" s="25">
        <f>IF(AND(ISNUMBER($D21),N(AR$2)&gt;=N($G$2),N(AR$2)&lt;=N($D21)),AR$2,"")</f>
        <v/>
      </c>
      <c r="AS21" s="25">
        <f>IF(AND(ISNUMBER($D21),N(AS$2)&gt;=N($G$2),N(AS$2)&lt;=N($D21)),AS$2,"")</f>
        <v/>
      </c>
      <c r="AT21" s="25">
        <f>IF(AND(ISNUMBER($D21),N(AT$2)&gt;=N($G$2),N(AT$2)&lt;=N($D21)),AT$2,"")</f>
        <v/>
      </c>
      <c r="AU21" s="25">
        <f>IF(AND(ISNUMBER($D21),N(AU$2)&gt;=N($G$2),N(AU$2)&lt;=N($D21)),AU$2,"")</f>
        <v/>
      </c>
      <c r="AV21" s="25">
        <f>IF(AND(ISNUMBER($D21),N(AV$2)&gt;=N($G$2),N(AV$2)&lt;=N($D21)),AV$2,"")</f>
        <v/>
      </c>
      <c r="AW21" s="25">
        <f>IF(AND(ISNUMBER($D21),N(AW$2)&gt;=N($G$2),N(AW$2)&lt;=N($D21)),AW$2,"")</f>
        <v/>
      </c>
      <c r="AX21" s="25">
        <f>IF(AND(ISNUMBER($D21),N(AX$2)&gt;=N($G$2),N(AX$2)&lt;=N($D21)),AX$2,"")</f>
        <v/>
      </c>
      <c r="AY21" s="25">
        <f>IF(AND(ISNUMBER($D21),N(AY$2)&gt;=N($G$2),N(AY$2)&lt;=N($D21)),AY$2,"")</f>
        <v/>
      </c>
      <c r="AZ21" s="25">
        <f>IF(AND(ISNUMBER($D21),N(AZ$2)&gt;=N($G$2),N(AZ$2)&lt;=N($D21)),AZ$2,"")</f>
        <v/>
      </c>
      <c r="BA21" s="25">
        <f>IF(AND(ISNUMBER($D21),N(BA$2)&gt;=N($G$2),N(BA$2)&lt;=N($D21)),BA$2,"")</f>
        <v/>
      </c>
      <c r="BB21" s="25">
        <f>IF(AND(ISNUMBER($D21),N(BB$2)&gt;=N($G$2),N(BB$2)&lt;=N($D21)),BB$2,"")</f>
        <v/>
      </c>
      <c r="BC21" s="25">
        <f>IF(AND(ISNUMBER($D21),N(BC$2)&gt;=N($G$2),N(BC$2)&lt;=N($D21)),BC$2,"")</f>
        <v/>
      </c>
      <c r="BD21" s="25">
        <f>IF(AND(ISNUMBER($D21),N(BD$2)&gt;=N($G$2),N(BD$2)&lt;=N($D21)),BD$2,"")</f>
        <v/>
      </c>
      <c r="BE21" s="25">
        <f>IF(AND(ISNUMBER($D21),N(BE$2)&gt;=N($G$2),N(BE$2)&lt;=N($D21)),BE$2,"")</f>
        <v/>
      </c>
      <c r="BF21" s="25">
        <f>IF(AND(ISNUMBER($D21),N(BF$2)&gt;=N($G$2),N(BF$2)&lt;=N($D21)),BF$2,"")</f>
        <v/>
      </c>
      <c r="BG21" s="25">
        <f>IF(AND(ISNUMBER($D21),N(BG$2)&gt;=N($G$2),N(BG$2)&lt;=N($D21)),BG$2,"")</f>
        <v/>
      </c>
      <c r="BH21" s="25">
        <f>IF(AND(ISNUMBER($D21),N(BH$2)&gt;=N($G$2),N(BH$2)&lt;=N($D21)),BH$2,"")</f>
        <v/>
      </c>
      <c r="BI21" s="25">
        <f>IF(AND(ISNUMBER($D21),N(BI$2)&gt;=N($G$2),N(BI$2)&lt;=N($D21)),BI$2,"")</f>
        <v/>
      </c>
      <c r="BJ21" s="25">
        <f>IF(AND(ISNUMBER($D21),N(BJ$2)&gt;=N($G$2),N(BJ$2)&lt;=N($D21)),BJ$2,"")</f>
        <v/>
      </c>
      <c r="BK21" s="25">
        <f>IF(AND(ISNUMBER($D21),N(BK$2)&gt;=N($G$2),N(BK$2)&lt;=N($D21)),BK$2,"")</f>
        <v/>
      </c>
      <c r="BL21" s="25">
        <f>IF(AND(ISNUMBER($D21),N(BL$2)&gt;=N($G$2),N(BL$2)&lt;=N($D21)),BL$2,"")</f>
        <v/>
      </c>
      <c r="BM21" s="25">
        <f>IF(AND(ISNUMBER($D21),N(BM$2)&gt;=N($G$2),N(BM$2)&lt;=N($D21)),BM$2,"")</f>
        <v/>
      </c>
      <c r="BN21" s="25">
        <f>IF(AND(ISNUMBER($D21),N(BN$2)&gt;=N($G$2),N(BN$2)&lt;=N($D21)),BN$2,"")</f>
        <v/>
      </c>
      <c r="BO21" s="25">
        <f>IF(AND(ISNUMBER($D21),N(BO$2)&gt;=N($G$2),N(BO$2)&lt;=N($D21)),BO$2,"")</f>
        <v/>
      </c>
    </row>
    <row r="22" ht="20" customHeight="1">
      <c r="A22" s="26" t="inlineStr">
        <is>
          <t>实际</t>
        </is>
      </c>
      <c r="B22" s="26" t="inlineStr">
        <is>
          <t>第一期</t>
        </is>
      </c>
      <c r="C22" s="27" t="inlineStr">
        <is>
          <t>PAB060·单级样机</t>
        </is>
      </c>
      <c r="D22" s="28">
        <f>'时间节点计划表'!E11</f>
        <v/>
      </c>
      <c r="E22" s="28">
        <f>IF(COUNT('时间节点计划表'!F11),'时间节点计划表'!F11,"")</f>
        <v/>
      </c>
      <c r="F22" s="29">
        <f>IF(OR(D22="",E22=""),"待填",E22-D22)</f>
        <v/>
      </c>
      <c r="G22" s="25">
        <f>IF(AND(ISNUMBER($E22),N(G$2)&gt;=N($G$2),N(G$2)&lt;=N($E22)),G$2,"")</f>
        <v/>
      </c>
      <c r="H22" s="25">
        <f>IF(AND(ISNUMBER($E22),N(H$2)&gt;=N($G$2),N(H$2)&lt;=N($E22)),H$2,"")</f>
        <v/>
      </c>
      <c r="I22" s="25">
        <f>IF(AND(ISNUMBER($E22),N(I$2)&gt;=N($G$2),N(I$2)&lt;=N($E22)),I$2,"")</f>
        <v/>
      </c>
      <c r="J22" s="25">
        <f>IF(AND(ISNUMBER($E22),N(J$2)&gt;=N($G$2),N(J$2)&lt;=N($E22)),J$2,"")</f>
        <v/>
      </c>
      <c r="K22" s="25">
        <f>IF(AND(ISNUMBER($E22),N(K$2)&gt;=N($G$2),N(K$2)&lt;=N($E22)),K$2,"")</f>
        <v/>
      </c>
      <c r="L22" s="25">
        <f>IF(AND(ISNUMBER($E22),N(L$2)&gt;=N($G$2),N(L$2)&lt;=N($E22)),L$2,"")</f>
        <v/>
      </c>
      <c r="M22" s="25">
        <f>IF(AND(ISNUMBER($E22),N(M$2)&gt;=N($G$2),N(M$2)&lt;=N($E22)),M$2,"")</f>
        <v/>
      </c>
      <c r="N22" s="25">
        <f>IF(AND(ISNUMBER($E22),N(N$2)&gt;=N($G$2),N(N$2)&lt;=N($E22)),N$2,"")</f>
        <v/>
      </c>
      <c r="O22" s="25">
        <f>IF(AND(ISNUMBER($E22),N(O$2)&gt;=N($G$2),N(O$2)&lt;=N($E22)),O$2,"")</f>
        <v/>
      </c>
      <c r="P22" s="25">
        <f>IF(AND(ISNUMBER($E22),N(P$2)&gt;=N($G$2),N(P$2)&lt;=N($E22)),P$2,"")</f>
        <v/>
      </c>
      <c r="Q22" s="25">
        <f>IF(AND(ISNUMBER($E22),N(Q$2)&gt;=N($G$2),N(Q$2)&lt;=N($E22)),Q$2,"")</f>
        <v/>
      </c>
      <c r="R22" s="25">
        <f>IF(AND(ISNUMBER($E22),N(R$2)&gt;=N($G$2),N(R$2)&lt;=N($E22)),R$2,"")</f>
        <v/>
      </c>
      <c r="S22" s="25">
        <f>IF(AND(ISNUMBER($E22),N(S$2)&gt;=N($G$2),N(S$2)&lt;=N($E22)),S$2,"")</f>
        <v/>
      </c>
      <c r="T22" s="25">
        <f>IF(AND(ISNUMBER($E22),N(T$2)&gt;=N($G$2),N(T$2)&lt;=N($E22)),T$2,"")</f>
        <v/>
      </c>
      <c r="U22" s="25">
        <f>IF(AND(ISNUMBER($E22),N(U$2)&gt;=N($G$2),N(U$2)&lt;=N($E22)),U$2,"")</f>
        <v/>
      </c>
      <c r="V22" s="25">
        <f>IF(AND(ISNUMBER($E22),N(V$2)&gt;=N($G$2),N(V$2)&lt;=N($E22)),V$2,"")</f>
        <v/>
      </c>
      <c r="W22" s="25">
        <f>IF(AND(ISNUMBER($E22),N(W$2)&gt;=N($G$2),N(W$2)&lt;=N($E22)),W$2,"")</f>
        <v/>
      </c>
      <c r="X22" s="25">
        <f>IF(AND(ISNUMBER($E22),N(X$2)&gt;=N($G$2),N(X$2)&lt;=N($E22)),X$2,"")</f>
        <v/>
      </c>
      <c r="Y22" s="25">
        <f>IF(AND(ISNUMBER($E22),N(Y$2)&gt;=N($G$2),N(Y$2)&lt;=N($E22)),Y$2,"")</f>
        <v/>
      </c>
      <c r="Z22" s="25">
        <f>IF(AND(ISNUMBER($E22),N(Z$2)&gt;=N($G$2),N(Z$2)&lt;=N($E22)),Z$2,"")</f>
        <v/>
      </c>
      <c r="AA22" s="25">
        <f>IF(AND(ISNUMBER($E22),N(AA$2)&gt;=N($G$2),N(AA$2)&lt;=N($E22)),AA$2,"")</f>
        <v/>
      </c>
      <c r="AB22" s="25">
        <f>IF(AND(ISNUMBER($E22),N(AB$2)&gt;=N($G$2),N(AB$2)&lt;=N($E22)),AB$2,"")</f>
        <v/>
      </c>
      <c r="AC22" s="25">
        <f>IF(AND(ISNUMBER($E22),N(AC$2)&gt;=N($G$2),N(AC$2)&lt;=N($E22)),AC$2,"")</f>
        <v/>
      </c>
      <c r="AD22" s="25">
        <f>IF(AND(ISNUMBER($E22),N(AD$2)&gt;=N($G$2),N(AD$2)&lt;=N($E22)),AD$2,"")</f>
        <v/>
      </c>
      <c r="AE22" s="25">
        <f>IF(AND(ISNUMBER($E22),N(AE$2)&gt;=N($G$2),N(AE$2)&lt;=N($E22)),AE$2,"")</f>
        <v/>
      </c>
      <c r="AF22" s="25">
        <f>IF(AND(ISNUMBER($E22),N(AF$2)&gt;=N($G$2),N(AF$2)&lt;=N($E22)),AF$2,"")</f>
        <v/>
      </c>
      <c r="AG22" s="25">
        <f>IF(AND(ISNUMBER($E22),N(AG$2)&gt;=N($G$2),N(AG$2)&lt;=N($E22)),AG$2,"")</f>
        <v/>
      </c>
      <c r="AH22" s="25">
        <f>IF(AND(ISNUMBER($E22),N(AH$2)&gt;=N($G$2),N(AH$2)&lt;=N($E22)),AH$2,"")</f>
        <v/>
      </c>
      <c r="AI22" s="25">
        <f>IF(AND(ISNUMBER($E22),N(AI$2)&gt;=N($G$2),N(AI$2)&lt;=N($E22)),AI$2,"")</f>
        <v/>
      </c>
      <c r="AJ22" s="25">
        <f>IF(AND(ISNUMBER($E22),N(AJ$2)&gt;=N($G$2),N(AJ$2)&lt;=N($E22)),AJ$2,"")</f>
        <v/>
      </c>
      <c r="AK22" s="25">
        <f>IF(AND(ISNUMBER($E22),N(AK$2)&gt;=N($G$2),N(AK$2)&lt;=N($E22)),AK$2,"")</f>
        <v/>
      </c>
      <c r="AL22" s="25">
        <f>IF(AND(ISNUMBER($E22),N(AL$2)&gt;=N($G$2),N(AL$2)&lt;=N($E22)),AL$2,"")</f>
        <v/>
      </c>
      <c r="AM22" s="25">
        <f>IF(AND(ISNUMBER($E22),N(AM$2)&gt;=N($G$2),N(AM$2)&lt;=N($E22)),AM$2,"")</f>
        <v/>
      </c>
      <c r="AN22" s="25">
        <f>IF(AND(ISNUMBER($E22),N(AN$2)&gt;=N($G$2),N(AN$2)&lt;=N($E22)),AN$2,"")</f>
        <v/>
      </c>
      <c r="AO22" s="25">
        <f>IF(AND(ISNUMBER($E22),N(AO$2)&gt;=N($G$2),N(AO$2)&lt;=N($E22)),AO$2,"")</f>
        <v/>
      </c>
      <c r="AP22" s="25">
        <f>IF(AND(ISNUMBER($E22),N(AP$2)&gt;=N($G$2),N(AP$2)&lt;=N($E22)),AP$2,"")</f>
        <v/>
      </c>
      <c r="AQ22" s="25">
        <f>IF(AND(ISNUMBER($E22),N(AQ$2)&gt;=N($G$2),N(AQ$2)&lt;=N($E22)),AQ$2,"")</f>
        <v/>
      </c>
      <c r="AR22" s="25">
        <f>IF(AND(ISNUMBER($E22),N(AR$2)&gt;=N($G$2),N(AR$2)&lt;=N($E22)),AR$2,"")</f>
        <v/>
      </c>
      <c r="AS22" s="25">
        <f>IF(AND(ISNUMBER($E22),N(AS$2)&gt;=N($G$2),N(AS$2)&lt;=N($E22)),AS$2,"")</f>
        <v/>
      </c>
      <c r="AT22" s="25">
        <f>IF(AND(ISNUMBER($E22),N(AT$2)&gt;=N($G$2),N(AT$2)&lt;=N($E22)),AT$2,"")</f>
        <v/>
      </c>
      <c r="AU22" s="25">
        <f>IF(AND(ISNUMBER($E22),N(AU$2)&gt;=N($G$2),N(AU$2)&lt;=N($E22)),AU$2,"")</f>
        <v/>
      </c>
      <c r="AV22" s="25">
        <f>IF(AND(ISNUMBER($E22),N(AV$2)&gt;=N($G$2),N(AV$2)&lt;=N($E22)),AV$2,"")</f>
        <v/>
      </c>
      <c r="AW22" s="25">
        <f>IF(AND(ISNUMBER($E22),N(AW$2)&gt;=N($G$2),N(AW$2)&lt;=N($E22)),AW$2,"")</f>
        <v/>
      </c>
      <c r="AX22" s="25">
        <f>IF(AND(ISNUMBER($E22),N(AX$2)&gt;=N($G$2),N(AX$2)&lt;=N($E22)),AX$2,"")</f>
        <v/>
      </c>
      <c r="AY22" s="25">
        <f>IF(AND(ISNUMBER($E22),N(AY$2)&gt;=N($G$2),N(AY$2)&lt;=N($E22)),AY$2,"")</f>
        <v/>
      </c>
      <c r="AZ22" s="25">
        <f>IF(AND(ISNUMBER($E22),N(AZ$2)&gt;=N($G$2),N(AZ$2)&lt;=N($E22)),AZ$2,"")</f>
        <v/>
      </c>
      <c r="BA22" s="25">
        <f>IF(AND(ISNUMBER($E22),N(BA$2)&gt;=N($G$2),N(BA$2)&lt;=N($E22)),BA$2,"")</f>
        <v/>
      </c>
      <c r="BB22" s="25">
        <f>IF(AND(ISNUMBER($E22),N(BB$2)&gt;=N($G$2),N(BB$2)&lt;=N($E22)),BB$2,"")</f>
        <v/>
      </c>
      <c r="BC22" s="25">
        <f>IF(AND(ISNUMBER($E22),N(BC$2)&gt;=N($G$2),N(BC$2)&lt;=N($E22)),BC$2,"")</f>
        <v/>
      </c>
      <c r="BD22" s="25">
        <f>IF(AND(ISNUMBER($E22),N(BD$2)&gt;=N($G$2),N(BD$2)&lt;=N($E22)),BD$2,"")</f>
        <v/>
      </c>
      <c r="BE22" s="25">
        <f>IF(AND(ISNUMBER($E22),N(BE$2)&gt;=N($G$2),N(BE$2)&lt;=N($E22)),BE$2,"")</f>
        <v/>
      </c>
      <c r="BF22" s="25">
        <f>IF(AND(ISNUMBER($E22),N(BF$2)&gt;=N($G$2),N(BF$2)&lt;=N($E22)),BF$2,"")</f>
        <v/>
      </c>
      <c r="BG22" s="25">
        <f>IF(AND(ISNUMBER($E22),N(BG$2)&gt;=N($G$2),N(BG$2)&lt;=N($E22)),BG$2,"")</f>
        <v/>
      </c>
      <c r="BH22" s="25">
        <f>IF(AND(ISNUMBER($E22),N(BH$2)&gt;=N($G$2),N(BH$2)&lt;=N($E22)),BH$2,"")</f>
        <v/>
      </c>
      <c r="BI22" s="25">
        <f>IF(AND(ISNUMBER($E22),N(BI$2)&gt;=N($G$2),N(BI$2)&lt;=N($E22)),BI$2,"")</f>
        <v/>
      </c>
      <c r="BJ22" s="25">
        <f>IF(AND(ISNUMBER($E22),N(BJ$2)&gt;=N($G$2),N(BJ$2)&lt;=N($E22)),BJ$2,"")</f>
        <v/>
      </c>
      <c r="BK22" s="25">
        <f>IF(AND(ISNUMBER($E22),N(BK$2)&gt;=N($G$2),N(BK$2)&lt;=N($E22)),BK$2,"")</f>
        <v/>
      </c>
      <c r="BL22" s="25">
        <f>IF(AND(ISNUMBER($E22),N(BL$2)&gt;=N($G$2),N(BL$2)&lt;=N($E22)),BL$2,"")</f>
        <v/>
      </c>
      <c r="BM22" s="25">
        <f>IF(AND(ISNUMBER($E22),N(BM$2)&gt;=N($G$2),N(BM$2)&lt;=N($E22)),BM$2,"")</f>
        <v/>
      </c>
      <c r="BN22" s="25">
        <f>IF(AND(ISNUMBER($E22),N(BN$2)&gt;=N($G$2),N(BN$2)&lt;=N($E22)),BN$2,"")</f>
        <v/>
      </c>
      <c r="BO22" s="25">
        <f>IF(AND(ISNUMBER($E22),N(BO$2)&gt;=N($G$2),N(BO$2)&lt;=N($E22)),BO$2,"")</f>
        <v/>
      </c>
    </row>
    <row r="23" ht="20" customHeight="1">
      <c r="A23" s="21" t="inlineStr">
        <is>
          <t>预估</t>
        </is>
      </c>
      <c r="B23" s="21" t="inlineStr">
        <is>
          <t>第一期</t>
        </is>
      </c>
      <c r="C23" s="22" t="inlineStr">
        <is>
          <t>PAB060·双级样机</t>
        </is>
      </c>
      <c r="D23" s="23">
        <f>'时间节点计划表'!E12</f>
        <v/>
      </c>
      <c r="E23" s="23">
        <f>IF(COUNT('时间节点计划表'!F12),'时间节点计划表'!F12,"")</f>
        <v/>
      </c>
      <c r="F23" s="24" t="inlineStr"/>
      <c r="G23" s="25">
        <f>IF(AND(ISNUMBER($D23),N(G$2)&gt;=N($G$2),N(G$2)&lt;=N($D23)),G$2,"")</f>
        <v/>
      </c>
      <c r="H23" s="25">
        <f>IF(AND(ISNUMBER($D23),N(H$2)&gt;=N($G$2),N(H$2)&lt;=N($D23)),H$2,"")</f>
        <v/>
      </c>
      <c r="I23" s="25">
        <f>IF(AND(ISNUMBER($D23),N(I$2)&gt;=N($G$2),N(I$2)&lt;=N($D23)),I$2,"")</f>
        <v/>
      </c>
      <c r="J23" s="25">
        <f>IF(AND(ISNUMBER($D23),N(J$2)&gt;=N($G$2),N(J$2)&lt;=N($D23)),J$2,"")</f>
        <v/>
      </c>
      <c r="K23" s="25">
        <f>IF(AND(ISNUMBER($D23),N(K$2)&gt;=N($G$2),N(K$2)&lt;=N($D23)),K$2,"")</f>
        <v/>
      </c>
      <c r="L23" s="25">
        <f>IF(AND(ISNUMBER($D23),N(L$2)&gt;=N($G$2),N(L$2)&lt;=N($D23)),L$2,"")</f>
        <v/>
      </c>
      <c r="M23" s="25">
        <f>IF(AND(ISNUMBER($D23),N(M$2)&gt;=N($G$2),N(M$2)&lt;=N($D23)),M$2,"")</f>
        <v/>
      </c>
      <c r="N23" s="25">
        <f>IF(AND(ISNUMBER($D23),N(N$2)&gt;=N($G$2),N(N$2)&lt;=N($D23)),N$2,"")</f>
        <v/>
      </c>
      <c r="O23" s="25">
        <f>IF(AND(ISNUMBER($D23),N(O$2)&gt;=N($G$2),N(O$2)&lt;=N($D23)),O$2,"")</f>
        <v/>
      </c>
      <c r="P23" s="25">
        <f>IF(AND(ISNUMBER($D23),N(P$2)&gt;=N($G$2),N(P$2)&lt;=N($D23)),P$2,"")</f>
        <v/>
      </c>
      <c r="Q23" s="25">
        <f>IF(AND(ISNUMBER($D23),N(Q$2)&gt;=N($G$2),N(Q$2)&lt;=N($D23)),Q$2,"")</f>
        <v/>
      </c>
      <c r="R23" s="25">
        <f>IF(AND(ISNUMBER($D23),N(R$2)&gt;=N($G$2),N(R$2)&lt;=N($D23)),R$2,"")</f>
        <v/>
      </c>
      <c r="S23" s="25">
        <f>IF(AND(ISNUMBER($D23),N(S$2)&gt;=N($G$2),N(S$2)&lt;=N($D23)),S$2,"")</f>
        <v/>
      </c>
      <c r="T23" s="25">
        <f>IF(AND(ISNUMBER($D23),N(T$2)&gt;=N($G$2),N(T$2)&lt;=N($D23)),T$2,"")</f>
        <v/>
      </c>
      <c r="U23" s="25">
        <f>IF(AND(ISNUMBER($D23),N(U$2)&gt;=N($G$2),N(U$2)&lt;=N($D23)),U$2,"")</f>
        <v/>
      </c>
      <c r="V23" s="25">
        <f>IF(AND(ISNUMBER($D23),N(V$2)&gt;=N($G$2),N(V$2)&lt;=N($D23)),V$2,"")</f>
        <v/>
      </c>
      <c r="W23" s="25">
        <f>IF(AND(ISNUMBER($D23),N(W$2)&gt;=N($G$2),N(W$2)&lt;=N($D23)),W$2,"")</f>
        <v/>
      </c>
      <c r="X23" s="25">
        <f>IF(AND(ISNUMBER($D23),N(X$2)&gt;=N($G$2),N(X$2)&lt;=N($D23)),X$2,"")</f>
        <v/>
      </c>
      <c r="Y23" s="25">
        <f>IF(AND(ISNUMBER($D23),N(Y$2)&gt;=N($G$2),N(Y$2)&lt;=N($D23)),Y$2,"")</f>
        <v/>
      </c>
      <c r="Z23" s="25">
        <f>IF(AND(ISNUMBER($D23),N(Z$2)&gt;=N($G$2),N(Z$2)&lt;=N($D23)),Z$2,"")</f>
        <v/>
      </c>
      <c r="AA23" s="25">
        <f>IF(AND(ISNUMBER($D23),N(AA$2)&gt;=N($G$2),N(AA$2)&lt;=N($D23)),AA$2,"")</f>
        <v/>
      </c>
      <c r="AB23" s="25">
        <f>IF(AND(ISNUMBER($D23),N(AB$2)&gt;=N($G$2),N(AB$2)&lt;=N($D23)),AB$2,"")</f>
        <v/>
      </c>
      <c r="AC23" s="25">
        <f>IF(AND(ISNUMBER($D23),N(AC$2)&gt;=N($G$2),N(AC$2)&lt;=N($D23)),AC$2,"")</f>
        <v/>
      </c>
      <c r="AD23" s="25">
        <f>IF(AND(ISNUMBER($D23),N(AD$2)&gt;=N($G$2),N(AD$2)&lt;=N($D23)),AD$2,"")</f>
        <v/>
      </c>
      <c r="AE23" s="25">
        <f>IF(AND(ISNUMBER($D23),N(AE$2)&gt;=N($G$2),N(AE$2)&lt;=N($D23)),AE$2,"")</f>
        <v/>
      </c>
      <c r="AF23" s="25">
        <f>IF(AND(ISNUMBER($D23),N(AF$2)&gt;=N($G$2),N(AF$2)&lt;=N($D23)),AF$2,"")</f>
        <v/>
      </c>
      <c r="AG23" s="25">
        <f>IF(AND(ISNUMBER($D23),N(AG$2)&gt;=N($G$2),N(AG$2)&lt;=N($D23)),AG$2,"")</f>
        <v/>
      </c>
      <c r="AH23" s="25">
        <f>IF(AND(ISNUMBER($D23),N(AH$2)&gt;=N($G$2),N(AH$2)&lt;=N($D23)),AH$2,"")</f>
        <v/>
      </c>
      <c r="AI23" s="25">
        <f>IF(AND(ISNUMBER($D23),N(AI$2)&gt;=N($G$2),N(AI$2)&lt;=N($D23)),AI$2,"")</f>
        <v/>
      </c>
      <c r="AJ23" s="25">
        <f>IF(AND(ISNUMBER($D23),N(AJ$2)&gt;=N($G$2),N(AJ$2)&lt;=N($D23)),AJ$2,"")</f>
        <v/>
      </c>
      <c r="AK23" s="25">
        <f>IF(AND(ISNUMBER($D23),N(AK$2)&gt;=N($G$2),N(AK$2)&lt;=N($D23)),AK$2,"")</f>
        <v/>
      </c>
      <c r="AL23" s="25">
        <f>IF(AND(ISNUMBER($D23),N(AL$2)&gt;=N($G$2),N(AL$2)&lt;=N($D23)),AL$2,"")</f>
        <v/>
      </c>
      <c r="AM23" s="25">
        <f>IF(AND(ISNUMBER($D23),N(AM$2)&gt;=N($G$2),N(AM$2)&lt;=N($D23)),AM$2,"")</f>
        <v/>
      </c>
      <c r="AN23" s="25">
        <f>IF(AND(ISNUMBER($D23),N(AN$2)&gt;=N($G$2),N(AN$2)&lt;=N($D23)),AN$2,"")</f>
        <v/>
      </c>
      <c r="AO23" s="25">
        <f>IF(AND(ISNUMBER($D23),N(AO$2)&gt;=N($G$2),N(AO$2)&lt;=N($D23)),AO$2,"")</f>
        <v/>
      </c>
      <c r="AP23" s="25">
        <f>IF(AND(ISNUMBER($D23),N(AP$2)&gt;=N($G$2),N(AP$2)&lt;=N($D23)),AP$2,"")</f>
        <v/>
      </c>
      <c r="AQ23" s="25">
        <f>IF(AND(ISNUMBER($D23),N(AQ$2)&gt;=N($G$2),N(AQ$2)&lt;=N($D23)),AQ$2,"")</f>
        <v/>
      </c>
      <c r="AR23" s="25">
        <f>IF(AND(ISNUMBER($D23),N(AR$2)&gt;=N($G$2),N(AR$2)&lt;=N($D23)),AR$2,"")</f>
        <v/>
      </c>
      <c r="AS23" s="25">
        <f>IF(AND(ISNUMBER($D23),N(AS$2)&gt;=N($G$2),N(AS$2)&lt;=N($D23)),AS$2,"")</f>
        <v/>
      </c>
      <c r="AT23" s="25">
        <f>IF(AND(ISNUMBER($D23),N(AT$2)&gt;=N($G$2),N(AT$2)&lt;=N($D23)),AT$2,"")</f>
        <v/>
      </c>
      <c r="AU23" s="25">
        <f>IF(AND(ISNUMBER($D23),N(AU$2)&gt;=N($G$2),N(AU$2)&lt;=N($D23)),AU$2,"")</f>
        <v/>
      </c>
      <c r="AV23" s="25">
        <f>IF(AND(ISNUMBER($D23),N(AV$2)&gt;=N($G$2),N(AV$2)&lt;=N($D23)),AV$2,"")</f>
        <v/>
      </c>
      <c r="AW23" s="25">
        <f>IF(AND(ISNUMBER($D23),N(AW$2)&gt;=N($G$2),N(AW$2)&lt;=N($D23)),AW$2,"")</f>
        <v/>
      </c>
      <c r="AX23" s="25">
        <f>IF(AND(ISNUMBER($D23),N(AX$2)&gt;=N($G$2),N(AX$2)&lt;=N($D23)),AX$2,"")</f>
        <v/>
      </c>
      <c r="AY23" s="25">
        <f>IF(AND(ISNUMBER($D23),N(AY$2)&gt;=N($G$2),N(AY$2)&lt;=N($D23)),AY$2,"")</f>
        <v/>
      </c>
      <c r="AZ23" s="25">
        <f>IF(AND(ISNUMBER($D23),N(AZ$2)&gt;=N($G$2),N(AZ$2)&lt;=N($D23)),AZ$2,"")</f>
        <v/>
      </c>
      <c r="BA23" s="25">
        <f>IF(AND(ISNUMBER($D23),N(BA$2)&gt;=N($G$2),N(BA$2)&lt;=N($D23)),BA$2,"")</f>
        <v/>
      </c>
      <c r="BB23" s="25">
        <f>IF(AND(ISNUMBER($D23),N(BB$2)&gt;=N($G$2),N(BB$2)&lt;=N($D23)),BB$2,"")</f>
        <v/>
      </c>
      <c r="BC23" s="25">
        <f>IF(AND(ISNUMBER($D23),N(BC$2)&gt;=N($G$2),N(BC$2)&lt;=N($D23)),BC$2,"")</f>
        <v/>
      </c>
      <c r="BD23" s="25">
        <f>IF(AND(ISNUMBER($D23),N(BD$2)&gt;=N($G$2),N(BD$2)&lt;=N($D23)),BD$2,"")</f>
        <v/>
      </c>
      <c r="BE23" s="25">
        <f>IF(AND(ISNUMBER($D23),N(BE$2)&gt;=N($G$2),N(BE$2)&lt;=N($D23)),BE$2,"")</f>
        <v/>
      </c>
      <c r="BF23" s="25">
        <f>IF(AND(ISNUMBER($D23),N(BF$2)&gt;=N($G$2),N(BF$2)&lt;=N($D23)),BF$2,"")</f>
        <v/>
      </c>
      <c r="BG23" s="25">
        <f>IF(AND(ISNUMBER($D23),N(BG$2)&gt;=N($G$2),N(BG$2)&lt;=N($D23)),BG$2,"")</f>
        <v/>
      </c>
      <c r="BH23" s="25">
        <f>IF(AND(ISNUMBER($D23),N(BH$2)&gt;=N($G$2),N(BH$2)&lt;=N($D23)),BH$2,"")</f>
        <v/>
      </c>
      <c r="BI23" s="25">
        <f>IF(AND(ISNUMBER($D23),N(BI$2)&gt;=N($G$2),N(BI$2)&lt;=N($D23)),BI$2,"")</f>
        <v/>
      </c>
      <c r="BJ23" s="25">
        <f>IF(AND(ISNUMBER($D23),N(BJ$2)&gt;=N($G$2),N(BJ$2)&lt;=N($D23)),BJ$2,"")</f>
        <v/>
      </c>
      <c r="BK23" s="25">
        <f>IF(AND(ISNUMBER($D23),N(BK$2)&gt;=N($G$2),N(BK$2)&lt;=N($D23)),BK$2,"")</f>
        <v/>
      </c>
      <c r="BL23" s="25">
        <f>IF(AND(ISNUMBER($D23),N(BL$2)&gt;=N($G$2),N(BL$2)&lt;=N($D23)),BL$2,"")</f>
        <v/>
      </c>
      <c r="BM23" s="25">
        <f>IF(AND(ISNUMBER($D23),N(BM$2)&gt;=N($G$2),N(BM$2)&lt;=N($D23)),BM$2,"")</f>
        <v/>
      </c>
      <c r="BN23" s="25">
        <f>IF(AND(ISNUMBER($D23),N(BN$2)&gt;=N($G$2),N(BN$2)&lt;=N($D23)),BN$2,"")</f>
        <v/>
      </c>
      <c r="BO23" s="25">
        <f>IF(AND(ISNUMBER($D23),N(BO$2)&gt;=N($G$2),N(BO$2)&lt;=N($D23)),BO$2,"")</f>
        <v/>
      </c>
    </row>
    <row r="24" ht="20" customHeight="1">
      <c r="A24" s="26" t="inlineStr">
        <is>
          <t>实际</t>
        </is>
      </c>
      <c r="B24" s="26" t="inlineStr">
        <is>
          <t>第一期</t>
        </is>
      </c>
      <c r="C24" s="27" t="inlineStr">
        <is>
          <t>PAB060·双级样机</t>
        </is>
      </c>
      <c r="D24" s="28">
        <f>'时间节点计划表'!E12</f>
        <v/>
      </c>
      <c r="E24" s="28">
        <f>IF(COUNT('时间节点计划表'!F12),'时间节点计划表'!F12,"")</f>
        <v/>
      </c>
      <c r="F24" s="29">
        <f>IF(OR(D24="",E24=""),"待填",E24-D24)</f>
        <v/>
      </c>
      <c r="G24" s="25">
        <f>IF(AND(ISNUMBER($E24),N(G$2)&gt;=N($G$2),N(G$2)&lt;=N($E24)),G$2,"")</f>
        <v/>
      </c>
      <c r="H24" s="25">
        <f>IF(AND(ISNUMBER($E24),N(H$2)&gt;=N($G$2),N(H$2)&lt;=N($E24)),H$2,"")</f>
        <v/>
      </c>
      <c r="I24" s="25">
        <f>IF(AND(ISNUMBER($E24),N(I$2)&gt;=N($G$2),N(I$2)&lt;=N($E24)),I$2,"")</f>
        <v/>
      </c>
      <c r="J24" s="25">
        <f>IF(AND(ISNUMBER($E24),N(J$2)&gt;=N($G$2),N(J$2)&lt;=N($E24)),J$2,"")</f>
        <v/>
      </c>
      <c r="K24" s="25">
        <f>IF(AND(ISNUMBER($E24),N(K$2)&gt;=N($G$2),N(K$2)&lt;=N($E24)),K$2,"")</f>
        <v/>
      </c>
      <c r="L24" s="25">
        <f>IF(AND(ISNUMBER($E24),N(L$2)&gt;=N($G$2),N(L$2)&lt;=N($E24)),L$2,"")</f>
        <v/>
      </c>
      <c r="M24" s="25">
        <f>IF(AND(ISNUMBER($E24),N(M$2)&gt;=N($G$2),N(M$2)&lt;=N($E24)),M$2,"")</f>
        <v/>
      </c>
      <c r="N24" s="25">
        <f>IF(AND(ISNUMBER($E24),N(N$2)&gt;=N($G$2),N(N$2)&lt;=N($E24)),N$2,"")</f>
        <v/>
      </c>
      <c r="O24" s="25">
        <f>IF(AND(ISNUMBER($E24),N(O$2)&gt;=N($G$2),N(O$2)&lt;=N($E24)),O$2,"")</f>
        <v/>
      </c>
      <c r="P24" s="25">
        <f>IF(AND(ISNUMBER($E24),N(P$2)&gt;=N($G$2),N(P$2)&lt;=N($E24)),P$2,"")</f>
        <v/>
      </c>
      <c r="Q24" s="25">
        <f>IF(AND(ISNUMBER($E24),N(Q$2)&gt;=N($G$2),N(Q$2)&lt;=N($E24)),Q$2,"")</f>
        <v/>
      </c>
      <c r="R24" s="25">
        <f>IF(AND(ISNUMBER($E24),N(R$2)&gt;=N($G$2),N(R$2)&lt;=N($E24)),R$2,"")</f>
        <v/>
      </c>
      <c r="S24" s="25">
        <f>IF(AND(ISNUMBER($E24),N(S$2)&gt;=N($G$2),N(S$2)&lt;=N($E24)),S$2,"")</f>
        <v/>
      </c>
      <c r="T24" s="25">
        <f>IF(AND(ISNUMBER($E24),N(T$2)&gt;=N($G$2),N(T$2)&lt;=N($E24)),T$2,"")</f>
        <v/>
      </c>
      <c r="U24" s="25">
        <f>IF(AND(ISNUMBER($E24),N(U$2)&gt;=N($G$2),N(U$2)&lt;=N($E24)),U$2,"")</f>
        <v/>
      </c>
      <c r="V24" s="25">
        <f>IF(AND(ISNUMBER($E24),N(V$2)&gt;=N($G$2),N(V$2)&lt;=N($E24)),V$2,"")</f>
        <v/>
      </c>
      <c r="W24" s="25">
        <f>IF(AND(ISNUMBER($E24),N(W$2)&gt;=N($G$2),N(W$2)&lt;=N($E24)),W$2,"")</f>
        <v/>
      </c>
      <c r="X24" s="25">
        <f>IF(AND(ISNUMBER($E24),N(X$2)&gt;=N($G$2),N(X$2)&lt;=N($E24)),X$2,"")</f>
        <v/>
      </c>
      <c r="Y24" s="25">
        <f>IF(AND(ISNUMBER($E24),N(Y$2)&gt;=N($G$2),N(Y$2)&lt;=N($E24)),Y$2,"")</f>
        <v/>
      </c>
      <c r="Z24" s="25">
        <f>IF(AND(ISNUMBER($E24),N(Z$2)&gt;=N($G$2),N(Z$2)&lt;=N($E24)),Z$2,"")</f>
        <v/>
      </c>
      <c r="AA24" s="25">
        <f>IF(AND(ISNUMBER($E24),N(AA$2)&gt;=N($G$2),N(AA$2)&lt;=N($E24)),AA$2,"")</f>
        <v/>
      </c>
      <c r="AB24" s="25">
        <f>IF(AND(ISNUMBER($E24),N(AB$2)&gt;=N($G$2),N(AB$2)&lt;=N($E24)),AB$2,"")</f>
        <v/>
      </c>
      <c r="AC24" s="25">
        <f>IF(AND(ISNUMBER($E24),N(AC$2)&gt;=N($G$2),N(AC$2)&lt;=N($E24)),AC$2,"")</f>
        <v/>
      </c>
      <c r="AD24" s="25">
        <f>IF(AND(ISNUMBER($E24),N(AD$2)&gt;=N($G$2),N(AD$2)&lt;=N($E24)),AD$2,"")</f>
        <v/>
      </c>
      <c r="AE24" s="25">
        <f>IF(AND(ISNUMBER($E24),N(AE$2)&gt;=N($G$2),N(AE$2)&lt;=N($E24)),AE$2,"")</f>
        <v/>
      </c>
      <c r="AF24" s="25">
        <f>IF(AND(ISNUMBER($E24),N(AF$2)&gt;=N($G$2),N(AF$2)&lt;=N($E24)),AF$2,"")</f>
        <v/>
      </c>
      <c r="AG24" s="25">
        <f>IF(AND(ISNUMBER($E24),N(AG$2)&gt;=N($G$2),N(AG$2)&lt;=N($E24)),AG$2,"")</f>
        <v/>
      </c>
      <c r="AH24" s="25">
        <f>IF(AND(ISNUMBER($E24),N(AH$2)&gt;=N($G$2),N(AH$2)&lt;=N($E24)),AH$2,"")</f>
        <v/>
      </c>
      <c r="AI24" s="25">
        <f>IF(AND(ISNUMBER($E24),N(AI$2)&gt;=N($G$2),N(AI$2)&lt;=N($E24)),AI$2,"")</f>
        <v/>
      </c>
      <c r="AJ24" s="25">
        <f>IF(AND(ISNUMBER($E24),N(AJ$2)&gt;=N($G$2),N(AJ$2)&lt;=N($E24)),AJ$2,"")</f>
        <v/>
      </c>
      <c r="AK24" s="25">
        <f>IF(AND(ISNUMBER($E24),N(AK$2)&gt;=N($G$2),N(AK$2)&lt;=N($E24)),AK$2,"")</f>
        <v/>
      </c>
      <c r="AL24" s="25">
        <f>IF(AND(ISNUMBER($E24),N(AL$2)&gt;=N($G$2),N(AL$2)&lt;=N($E24)),AL$2,"")</f>
        <v/>
      </c>
      <c r="AM24" s="25">
        <f>IF(AND(ISNUMBER($E24),N(AM$2)&gt;=N($G$2),N(AM$2)&lt;=N($E24)),AM$2,"")</f>
        <v/>
      </c>
      <c r="AN24" s="25">
        <f>IF(AND(ISNUMBER($E24),N(AN$2)&gt;=N($G$2),N(AN$2)&lt;=N($E24)),AN$2,"")</f>
        <v/>
      </c>
      <c r="AO24" s="25">
        <f>IF(AND(ISNUMBER($E24),N(AO$2)&gt;=N($G$2),N(AO$2)&lt;=N($E24)),AO$2,"")</f>
        <v/>
      </c>
      <c r="AP24" s="25">
        <f>IF(AND(ISNUMBER($E24),N(AP$2)&gt;=N($G$2),N(AP$2)&lt;=N($E24)),AP$2,"")</f>
        <v/>
      </c>
      <c r="AQ24" s="25">
        <f>IF(AND(ISNUMBER($E24),N(AQ$2)&gt;=N($G$2),N(AQ$2)&lt;=N($E24)),AQ$2,"")</f>
        <v/>
      </c>
      <c r="AR24" s="25">
        <f>IF(AND(ISNUMBER($E24),N(AR$2)&gt;=N($G$2),N(AR$2)&lt;=N($E24)),AR$2,"")</f>
        <v/>
      </c>
      <c r="AS24" s="25">
        <f>IF(AND(ISNUMBER($E24),N(AS$2)&gt;=N($G$2),N(AS$2)&lt;=N($E24)),AS$2,"")</f>
        <v/>
      </c>
      <c r="AT24" s="25">
        <f>IF(AND(ISNUMBER($E24),N(AT$2)&gt;=N($G$2),N(AT$2)&lt;=N($E24)),AT$2,"")</f>
        <v/>
      </c>
      <c r="AU24" s="25">
        <f>IF(AND(ISNUMBER($E24),N(AU$2)&gt;=N($G$2),N(AU$2)&lt;=N($E24)),AU$2,"")</f>
        <v/>
      </c>
      <c r="AV24" s="25">
        <f>IF(AND(ISNUMBER($E24),N(AV$2)&gt;=N($G$2),N(AV$2)&lt;=N($E24)),AV$2,"")</f>
        <v/>
      </c>
      <c r="AW24" s="25">
        <f>IF(AND(ISNUMBER($E24),N(AW$2)&gt;=N($G$2),N(AW$2)&lt;=N($E24)),AW$2,"")</f>
        <v/>
      </c>
      <c r="AX24" s="25">
        <f>IF(AND(ISNUMBER($E24),N(AX$2)&gt;=N($G$2),N(AX$2)&lt;=N($E24)),AX$2,"")</f>
        <v/>
      </c>
      <c r="AY24" s="25">
        <f>IF(AND(ISNUMBER($E24),N(AY$2)&gt;=N($G$2),N(AY$2)&lt;=N($E24)),AY$2,"")</f>
        <v/>
      </c>
      <c r="AZ24" s="25">
        <f>IF(AND(ISNUMBER($E24),N(AZ$2)&gt;=N($G$2),N(AZ$2)&lt;=N($E24)),AZ$2,"")</f>
        <v/>
      </c>
      <c r="BA24" s="25">
        <f>IF(AND(ISNUMBER($E24),N(BA$2)&gt;=N($G$2),N(BA$2)&lt;=N($E24)),BA$2,"")</f>
        <v/>
      </c>
      <c r="BB24" s="25">
        <f>IF(AND(ISNUMBER($E24),N(BB$2)&gt;=N($G$2),N(BB$2)&lt;=N($E24)),BB$2,"")</f>
        <v/>
      </c>
      <c r="BC24" s="25">
        <f>IF(AND(ISNUMBER($E24),N(BC$2)&gt;=N($G$2),N(BC$2)&lt;=N($E24)),BC$2,"")</f>
        <v/>
      </c>
      <c r="BD24" s="25">
        <f>IF(AND(ISNUMBER($E24),N(BD$2)&gt;=N($G$2),N(BD$2)&lt;=N($E24)),BD$2,"")</f>
        <v/>
      </c>
      <c r="BE24" s="25">
        <f>IF(AND(ISNUMBER($E24),N(BE$2)&gt;=N($G$2),N(BE$2)&lt;=N($E24)),BE$2,"")</f>
        <v/>
      </c>
      <c r="BF24" s="25">
        <f>IF(AND(ISNUMBER($E24),N(BF$2)&gt;=N($G$2),N(BF$2)&lt;=N($E24)),BF$2,"")</f>
        <v/>
      </c>
      <c r="BG24" s="25">
        <f>IF(AND(ISNUMBER($E24),N(BG$2)&gt;=N($G$2),N(BG$2)&lt;=N($E24)),BG$2,"")</f>
        <v/>
      </c>
      <c r="BH24" s="25">
        <f>IF(AND(ISNUMBER($E24),N(BH$2)&gt;=N($G$2),N(BH$2)&lt;=N($E24)),BH$2,"")</f>
        <v/>
      </c>
      <c r="BI24" s="25">
        <f>IF(AND(ISNUMBER($E24),N(BI$2)&gt;=N($G$2),N(BI$2)&lt;=N($E24)),BI$2,"")</f>
        <v/>
      </c>
      <c r="BJ24" s="25">
        <f>IF(AND(ISNUMBER($E24),N(BJ$2)&gt;=N($G$2),N(BJ$2)&lt;=N($E24)),BJ$2,"")</f>
        <v/>
      </c>
      <c r="BK24" s="25">
        <f>IF(AND(ISNUMBER($E24),N(BK$2)&gt;=N($G$2),N(BK$2)&lt;=N($E24)),BK$2,"")</f>
        <v/>
      </c>
      <c r="BL24" s="25">
        <f>IF(AND(ISNUMBER($E24),N(BL$2)&gt;=N($G$2),N(BL$2)&lt;=N($E24)),BL$2,"")</f>
        <v/>
      </c>
      <c r="BM24" s="25">
        <f>IF(AND(ISNUMBER($E24),N(BM$2)&gt;=N($G$2),N(BM$2)&lt;=N($E24)),BM$2,"")</f>
        <v/>
      </c>
      <c r="BN24" s="25">
        <f>IF(AND(ISNUMBER($E24),N(BN$2)&gt;=N($G$2),N(BN$2)&lt;=N($E24)),BN$2,"")</f>
        <v/>
      </c>
      <c r="BO24" s="25">
        <f>IF(AND(ISNUMBER($E24),N(BO$2)&gt;=N($G$2),N(BO$2)&lt;=N($E24)),BO$2,"")</f>
        <v/>
      </c>
    </row>
    <row r="25" ht="20" customHeight="1">
      <c r="A25" s="21" t="inlineStr">
        <is>
          <t>预估</t>
        </is>
      </c>
      <c r="B25" s="21" t="inlineStr">
        <is>
          <t>第一期</t>
        </is>
      </c>
      <c r="C25" s="22" t="inlineStr">
        <is>
          <t>PAB090·零件到位</t>
        </is>
      </c>
      <c r="D25" s="23">
        <f>'时间节点计划表'!E13</f>
        <v/>
      </c>
      <c r="E25" s="23">
        <f>IF(COUNT('时间节点计划表'!F13),'时间节点计划表'!F13,"")</f>
        <v/>
      </c>
      <c r="F25" s="24" t="inlineStr"/>
      <c r="G25" s="25">
        <f>IF(AND(ISNUMBER($D25),N(G$2)&gt;=N($G$2),N(G$2)&lt;=N($D25)),G$2,"")</f>
        <v/>
      </c>
      <c r="H25" s="25">
        <f>IF(AND(ISNUMBER($D25),N(H$2)&gt;=N($G$2),N(H$2)&lt;=N($D25)),H$2,"")</f>
        <v/>
      </c>
      <c r="I25" s="25">
        <f>IF(AND(ISNUMBER($D25),N(I$2)&gt;=N($G$2),N(I$2)&lt;=N($D25)),I$2,"")</f>
        <v/>
      </c>
      <c r="J25" s="25">
        <f>IF(AND(ISNUMBER($D25),N(J$2)&gt;=N($G$2),N(J$2)&lt;=N($D25)),J$2,"")</f>
        <v/>
      </c>
      <c r="K25" s="25">
        <f>IF(AND(ISNUMBER($D25),N(K$2)&gt;=N($G$2),N(K$2)&lt;=N($D25)),K$2,"")</f>
        <v/>
      </c>
      <c r="L25" s="25">
        <f>IF(AND(ISNUMBER($D25),N(L$2)&gt;=N($G$2),N(L$2)&lt;=N($D25)),L$2,"")</f>
        <v/>
      </c>
      <c r="M25" s="25">
        <f>IF(AND(ISNUMBER($D25),N(M$2)&gt;=N($G$2),N(M$2)&lt;=N($D25)),M$2,"")</f>
        <v/>
      </c>
      <c r="N25" s="25">
        <f>IF(AND(ISNUMBER($D25),N(N$2)&gt;=N($G$2),N(N$2)&lt;=N($D25)),N$2,"")</f>
        <v/>
      </c>
      <c r="O25" s="25">
        <f>IF(AND(ISNUMBER($D25),N(O$2)&gt;=N($G$2),N(O$2)&lt;=N($D25)),O$2,"")</f>
        <v/>
      </c>
      <c r="P25" s="25">
        <f>IF(AND(ISNUMBER($D25),N(P$2)&gt;=N($G$2),N(P$2)&lt;=N($D25)),P$2,"")</f>
        <v/>
      </c>
      <c r="Q25" s="25">
        <f>IF(AND(ISNUMBER($D25),N(Q$2)&gt;=N($G$2),N(Q$2)&lt;=N($D25)),Q$2,"")</f>
        <v/>
      </c>
      <c r="R25" s="25">
        <f>IF(AND(ISNUMBER($D25),N(R$2)&gt;=N($G$2),N(R$2)&lt;=N($D25)),R$2,"")</f>
        <v/>
      </c>
      <c r="S25" s="25">
        <f>IF(AND(ISNUMBER($D25),N(S$2)&gt;=N($G$2),N(S$2)&lt;=N($D25)),S$2,"")</f>
        <v/>
      </c>
      <c r="T25" s="25">
        <f>IF(AND(ISNUMBER($D25),N(T$2)&gt;=N($G$2),N(T$2)&lt;=N($D25)),T$2,"")</f>
        <v/>
      </c>
      <c r="U25" s="25">
        <f>IF(AND(ISNUMBER($D25),N(U$2)&gt;=N($G$2),N(U$2)&lt;=N($D25)),U$2,"")</f>
        <v/>
      </c>
      <c r="V25" s="25">
        <f>IF(AND(ISNUMBER($D25),N(V$2)&gt;=N($G$2),N(V$2)&lt;=N($D25)),V$2,"")</f>
        <v/>
      </c>
      <c r="W25" s="25">
        <f>IF(AND(ISNUMBER($D25),N(W$2)&gt;=N($G$2),N(W$2)&lt;=N($D25)),W$2,"")</f>
        <v/>
      </c>
      <c r="X25" s="25">
        <f>IF(AND(ISNUMBER($D25),N(X$2)&gt;=N($G$2),N(X$2)&lt;=N($D25)),X$2,"")</f>
        <v/>
      </c>
      <c r="Y25" s="25">
        <f>IF(AND(ISNUMBER($D25),N(Y$2)&gt;=N($G$2),N(Y$2)&lt;=N($D25)),Y$2,"")</f>
        <v/>
      </c>
      <c r="Z25" s="25">
        <f>IF(AND(ISNUMBER($D25),N(Z$2)&gt;=N($G$2),N(Z$2)&lt;=N($D25)),Z$2,"")</f>
        <v/>
      </c>
      <c r="AA25" s="25">
        <f>IF(AND(ISNUMBER($D25),N(AA$2)&gt;=N($G$2),N(AA$2)&lt;=N($D25)),AA$2,"")</f>
        <v/>
      </c>
      <c r="AB25" s="25">
        <f>IF(AND(ISNUMBER($D25),N(AB$2)&gt;=N($G$2),N(AB$2)&lt;=N($D25)),AB$2,"")</f>
        <v/>
      </c>
      <c r="AC25" s="25">
        <f>IF(AND(ISNUMBER($D25),N(AC$2)&gt;=N($G$2),N(AC$2)&lt;=N($D25)),AC$2,"")</f>
        <v/>
      </c>
      <c r="AD25" s="25">
        <f>IF(AND(ISNUMBER($D25),N(AD$2)&gt;=N($G$2),N(AD$2)&lt;=N($D25)),AD$2,"")</f>
        <v/>
      </c>
      <c r="AE25" s="25">
        <f>IF(AND(ISNUMBER($D25),N(AE$2)&gt;=N($G$2),N(AE$2)&lt;=N($D25)),AE$2,"")</f>
        <v/>
      </c>
      <c r="AF25" s="25">
        <f>IF(AND(ISNUMBER($D25),N(AF$2)&gt;=N($G$2),N(AF$2)&lt;=N($D25)),AF$2,"")</f>
        <v/>
      </c>
      <c r="AG25" s="25">
        <f>IF(AND(ISNUMBER($D25),N(AG$2)&gt;=N($G$2),N(AG$2)&lt;=N($D25)),AG$2,"")</f>
        <v/>
      </c>
      <c r="AH25" s="25">
        <f>IF(AND(ISNUMBER($D25),N(AH$2)&gt;=N($G$2),N(AH$2)&lt;=N($D25)),AH$2,"")</f>
        <v/>
      </c>
      <c r="AI25" s="25">
        <f>IF(AND(ISNUMBER($D25),N(AI$2)&gt;=N($G$2),N(AI$2)&lt;=N($D25)),AI$2,"")</f>
        <v/>
      </c>
      <c r="AJ25" s="25">
        <f>IF(AND(ISNUMBER($D25),N(AJ$2)&gt;=N($G$2),N(AJ$2)&lt;=N($D25)),AJ$2,"")</f>
        <v/>
      </c>
      <c r="AK25" s="25">
        <f>IF(AND(ISNUMBER($D25),N(AK$2)&gt;=N($G$2),N(AK$2)&lt;=N($D25)),AK$2,"")</f>
        <v/>
      </c>
      <c r="AL25" s="25">
        <f>IF(AND(ISNUMBER($D25),N(AL$2)&gt;=N($G$2),N(AL$2)&lt;=N($D25)),AL$2,"")</f>
        <v/>
      </c>
      <c r="AM25" s="25">
        <f>IF(AND(ISNUMBER($D25),N(AM$2)&gt;=N($G$2),N(AM$2)&lt;=N($D25)),AM$2,"")</f>
        <v/>
      </c>
      <c r="AN25" s="25">
        <f>IF(AND(ISNUMBER($D25),N(AN$2)&gt;=N($G$2),N(AN$2)&lt;=N($D25)),AN$2,"")</f>
        <v/>
      </c>
      <c r="AO25" s="25">
        <f>IF(AND(ISNUMBER($D25),N(AO$2)&gt;=N($G$2),N(AO$2)&lt;=N($D25)),AO$2,"")</f>
        <v/>
      </c>
      <c r="AP25" s="25">
        <f>IF(AND(ISNUMBER($D25),N(AP$2)&gt;=N($G$2),N(AP$2)&lt;=N($D25)),AP$2,"")</f>
        <v/>
      </c>
      <c r="AQ25" s="25">
        <f>IF(AND(ISNUMBER($D25),N(AQ$2)&gt;=N($G$2),N(AQ$2)&lt;=N($D25)),AQ$2,"")</f>
        <v/>
      </c>
      <c r="AR25" s="25">
        <f>IF(AND(ISNUMBER($D25),N(AR$2)&gt;=N($G$2),N(AR$2)&lt;=N($D25)),AR$2,"")</f>
        <v/>
      </c>
      <c r="AS25" s="25">
        <f>IF(AND(ISNUMBER($D25),N(AS$2)&gt;=N($G$2),N(AS$2)&lt;=N($D25)),AS$2,"")</f>
        <v/>
      </c>
      <c r="AT25" s="25">
        <f>IF(AND(ISNUMBER($D25),N(AT$2)&gt;=N($G$2),N(AT$2)&lt;=N($D25)),AT$2,"")</f>
        <v/>
      </c>
      <c r="AU25" s="25">
        <f>IF(AND(ISNUMBER($D25),N(AU$2)&gt;=N($G$2),N(AU$2)&lt;=N($D25)),AU$2,"")</f>
        <v/>
      </c>
      <c r="AV25" s="25">
        <f>IF(AND(ISNUMBER($D25),N(AV$2)&gt;=N($G$2),N(AV$2)&lt;=N($D25)),AV$2,"")</f>
        <v/>
      </c>
      <c r="AW25" s="25">
        <f>IF(AND(ISNUMBER($D25),N(AW$2)&gt;=N($G$2),N(AW$2)&lt;=N($D25)),AW$2,"")</f>
        <v/>
      </c>
      <c r="AX25" s="25">
        <f>IF(AND(ISNUMBER($D25),N(AX$2)&gt;=N($G$2),N(AX$2)&lt;=N($D25)),AX$2,"")</f>
        <v/>
      </c>
      <c r="AY25" s="25">
        <f>IF(AND(ISNUMBER($D25),N(AY$2)&gt;=N($G$2),N(AY$2)&lt;=N($D25)),AY$2,"")</f>
        <v/>
      </c>
      <c r="AZ25" s="25">
        <f>IF(AND(ISNUMBER($D25),N(AZ$2)&gt;=N($G$2),N(AZ$2)&lt;=N($D25)),AZ$2,"")</f>
        <v/>
      </c>
      <c r="BA25" s="25">
        <f>IF(AND(ISNUMBER($D25),N(BA$2)&gt;=N($G$2),N(BA$2)&lt;=N($D25)),BA$2,"")</f>
        <v/>
      </c>
      <c r="BB25" s="25">
        <f>IF(AND(ISNUMBER($D25),N(BB$2)&gt;=N($G$2),N(BB$2)&lt;=N($D25)),BB$2,"")</f>
        <v/>
      </c>
      <c r="BC25" s="25">
        <f>IF(AND(ISNUMBER($D25),N(BC$2)&gt;=N($G$2),N(BC$2)&lt;=N($D25)),BC$2,"")</f>
        <v/>
      </c>
      <c r="BD25" s="25">
        <f>IF(AND(ISNUMBER($D25),N(BD$2)&gt;=N($G$2),N(BD$2)&lt;=N($D25)),BD$2,"")</f>
        <v/>
      </c>
      <c r="BE25" s="25">
        <f>IF(AND(ISNUMBER($D25),N(BE$2)&gt;=N($G$2),N(BE$2)&lt;=N($D25)),BE$2,"")</f>
        <v/>
      </c>
      <c r="BF25" s="25">
        <f>IF(AND(ISNUMBER($D25),N(BF$2)&gt;=N($G$2),N(BF$2)&lt;=N($D25)),BF$2,"")</f>
        <v/>
      </c>
      <c r="BG25" s="25">
        <f>IF(AND(ISNUMBER($D25),N(BG$2)&gt;=N($G$2),N(BG$2)&lt;=N($D25)),BG$2,"")</f>
        <v/>
      </c>
      <c r="BH25" s="25">
        <f>IF(AND(ISNUMBER($D25),N(BH$2)&gt;=N($G$2),N(BH$2)&lt;=N($D25)),BH$2,"")</f>
        <v/>
      </c>
      <c r="BI25" s="25">
        <f>IF(AND(ISNUMBER($D25),N(BI$2)&gt;=N($G$2),N(BI$2)&lt;=N($D25)),BI$2,"")</f>
        <v/>
      </c>
      <c r="BJ25" s="25">
        <f>IF(AND(ISNUMBER($D25),N(BJ$2)&gt;=N($G$2),N(BJ$2)&lt;=N($D25)),BJ$2,"")</f>
        <v/>
      </c>
      <c r="BK25" s="25">
        <f>IF(AND(ISNUMBER($D25),N(BK$2)&gt;=N($G$2),N(BK$2)&lt;=N($D25)),BK$2,"")</f>
        <v/>
      </c>
      <c r="BL25" s="25">
        <f>IF(AND(ISNUMBER($D25),N(BL$2)&gt;=N($G$2),N(BL$2)&lt;=N($D25)),BL$2,"")</f>
        <v/>
      </c>
      <c r="BM25" s="25">
        <f>IF(AND(ISNUMBER($D25),N(BM$2)&gt;=N($G$2),N(BM$2)&lt;=N($D25)),BM$2,"")</f>
        <v/>
      </c>
      <c r="BN25" s="25">
        <f>IF(AND(ISNUMBER($D25),N(BN$2)&gt;=N($G$2),N(BN$2)&lt;=N($D25)),BN$2,"")</f>
        <v/>
      </c>
      <c r="BO25" s="25">
        <f>IF(AND(ISNUMBER($D25),N(BO$2)&gt;=N($G$2),N(BO$2)&lt;=N($D25)),BO$2,"")</f>
        <v/>
      </c>
    </row>
    <row r="26" ht="20" customHeight="1">
      <c r="A26" s="26" t="inlineStr">
        <is>
          <t>实际</t>
        </is>
      </c>
      <c r="B26" s="26" t="inlineStr">
        <is>
          <t>第一期</t>
        </is>
      </c>
      <c r="C26" s="27" t="inlineStr">
        <is>
          <t>PAB090·零件到位</t>
        </is>
      </c>
      <c r="D26" s="28">
        <f>'时间节点计划表'!E13</f>
        <v/>
      </c>
      <c r="E26" s="28">
        <f>IF(COUNT('时间节点计划表'!F13),'时间节点计划表'!F13,"")</f>
        <v/>
      </c>
      <c r="F26" s="29">
        <f>IF(OR(D26="",E26=""),"待填",E26-D26)</f>
        <v/>
      </c>
      <c r="G26" s="25">
        <f>IF(AND(ISNUMBER($E26),N(G$2)&gt;=N($G$2),N(G$2)&lt;=N($E26)),G$2,"")</f>
        <v/>
      </c>
      <c r="H26" s="25">
        <f>IF(AND(ISNUMBER($E26),N(H$2)&gt;=N($G$2),N(H$2)&lt;=N($E26)),H$2,"")</f>
        <v/>
      </c>
      <c r="I26" s="25">
        <f>IF(AND(ISNUMBER($E26),N(I$2)&gt;=N($G$2),N(I$2)&lt;=N($E26)),I$2,"")</f>
        <v/>
      </c>
      <c r="J26" s="25">
        <f>IF(AND(ISNUMBER($E26),N(J$2)&gt;=N($G$2),N(J$2)&lt;=N($E26)),J$2,"")</f>
        <v/>
      </c>
      <c r="K26" s="25">
        <f>IF(AND(ISNUMBER($E26),N(K$2)&gt;=N($G$2),N(K$2)&lt;=N($E26)),K$2,"")</f>
        <v/>
      </c>
      <c r="L26" s="25">
        <f>IF(AND(ISNUMBER($E26),N(L$2)&gt;=N($G$2),N(L$2)&lt;=N($E26)),L$2,"")</f>
        <v/>
      </c>
      <c r="M26" s="25">
        <f>IF(AND(ISNUMBER($E26),N(M$2)&gt;=N($G$2),N(M$2)&lt;=N($E26)),M$2,"")</f>
        <v/>
      </c>
      <c r="N26" s="25">
        <f>IF(AND(ISNUMBER($E26),N(N$2)&gt;=N($G$2),N(N$2)&lt;=N($E26)),N$2,"")</f>
        <v/>
      </c>
      <c r="O26" s="25">
        <f>IF(AND(ISNUMBER($E26),N(O$2)&gt;=N($G$2),N(O$2)&lt;=N($E26)),O$2,"")</f>
        <v/>
      </c>
      <c r="P26" s="25">
        <f>IF(AND(ISNUMBER($E26),N(P$2)&gt;=N($G$2),N(P$2)&lt;=N($E26)),P$2,"")</f>
        <v/>
      </c>
      <c r="Q26" s="25">
        <f>IF(AND(ISNUMBER($E26),N(Q$2)&gt;=N($G$2),N(Q$2)&lt;=N($E26)),Q$2,"")</f>
        <v/>
      </c>
      <c r="R26" s="25">
        <f>IF(AND(ISNUMBER($E26),N(R$2)&gt;=N($G$2),N(R$2)&lt;=N($E26)),R$2,"")</f>
        <v/>
      </c>
      <c r="S26" s="25">
        <f>IF(AND(ISNUMBER($E26),N(S$2)&gt;=N($G$2),N(S$2)&lt;=N($E26)),S$2,"")</f>
        <v/>
      </c>
      <c r="T26" s="25">
        <f>IF(AND(ISNUMBER($E26),N(T$2)&gt;=N($G$2),N(T$2)&lt;=N($E26)),T$2,"")</f>
        <v/>
      </c>
      <c r="U26" s="25">
        <f>IF(AND(ISNUMBER($E26),N(U$2)&gt;=N($G$2),N(U$2)&lt;=N($E26)),U$2,"")</f>
        <v/>
      </c>
      <c r="V26" s="25">
        <f>IF(AND(ISNUMBER($E26),N(V$2)&gt;=N($G$2),N(V$2)&lt;=N($E26)),V$2,"")</f>
        <v/>
      </c>
      <c r="W26" s="25">
        <f>IF(AND(ISNUMBER($E26),N(W$2)&gt;=N($G$2),N(W$2)&lt;=N($E26)),W$2,"")</f>
        <v/>
      </c>
      <c r="X26" s="25">
        <f>IF(AND(ISNUMBER($E26),N(X$2)&gt;=N($G$2),N(X$2)&lt;=N($E26)),X$2,"")</f>
        <v/>
      </c>
      <c r="Y26" s="25">
        <f>IF(AND(ISNUMBER($E26),N(Y$2)&gt;=N($G$2),N(Y$2)&lt;=N($E26)),Y$2,"")</f>
        <v/>
      </c>
      <c r="Z26" s="25">
        <f>IF(AND(ISNUMBER($E26),N(Z$2)&gt;=N($G$2),N(Z$2)&lt;=N($E26)),Z$2,"")</f>
        <v/>
      </c>
      <c r="AA26" s="25">
        <f>IF(AND(ISNUMBER($E26),N(AA$2)&gt;=N($G$2),N(AA$2)&lt;=N($E26)),AA$2,"")</f>
        <v/>
      </c>
      <c r="AB26" s="25">
        <f>IF(AND(ISNUMBER($E26),N(AB$2)&gt;=N($G$2),N(AB$2)&lt;=N($E26)),AB$2,"")</f>
        <v/>
      </c>
      <c r="AC26" s="25">
        <f>IF(AND(ISNUMBER($E26),N(AC$2)&gt;=N($G$2),N(AC$2)&lt;=N($E26)),AC$2,"")</f>
        <v/>
      </c>
      <c r="AD26" s="25">
        <f>IF(AND(ISNUMBER($E26),N(AD$2)&gt;=N($G$2),N(AD$2)&lt;=N($E26)),AD$2,"")</f>
        <v/>
      </c>
      <c r="AE26" s="25">
        <f>IF(AND(ISNUMBER($E26),N(AE$2)&gt;=N($G$2),N(AE$2)&lt;=N($E26)),AE$2,"")</f>
        <v/>
      </c>
      <c r="AF26" s="25">
        <f>IF(AND(ISNUMBER($E26),N(AF$2)&gt;=N($G$2),N(AF$2)&lt;=N($E26)),AF$2,"")</f>
        <v/>
      </c>
      <c r="AG26" s="25">
        <f>IF(AND(ISNUMBER($E26),N(AG$2)&gt;=N($G$2),N(AG$2)&lt;=N($E26)),AG$2,"")</f>
        <v/>
      </c>
      <c r="AH26" s="25">
        <f>IF(AND(ISNUMBER($E26),N(AH$2)&gt;=N($G$2),N(AH$2)&lt;=N($E26)),AH$2,"")</f>
        <v/>
      </c>
      <c r="AI26" s="25">
        <f>IF(AND(ISNUMBER($E26),N(AI$2)&gt;=N($G$2),N(AI$2)&lt;=N($E26)),AI$2,"")</f>
        <v/>
      </c>
      <c r="AJ26" s="25">
        <f>IF(AND(ISNUMBER($E26),N(AJ$2)&gt;=N($G$2),N(AJ$2)&lt;=N($E26)),AJ$2,"")</f>
        <v/>
      </c>
      <c r="AK26" s="25">
        <f>IF(AND(ISNUMBER($E26),N(AK$2)&gt;=N($G$2),N(AK$2)&lt;=N($E26)),AK$2,"")</f>
        <v/>
      </c>
      <c r="AL26" s="25">
        <f>IF(AND(ISNUMBER($E26),N(AL$2)&gt;=N($G$2),N(AL$2)&lt;=N($E26)),AL$2,"")</f>
        <v/>
      </c>
      <c r="AM26" s="25">
        <f>IF(AND(ISNUMBER($E26),N(AM$2)&gt;=N($G$2),N(AM$2)&lt;=N($E26)),AM$2,"")</f>
        <v/>
      </c>
      <c r="AN26" s="25">
        <f>IF(AND(ISNUMBER($E26),N(AN$2)&gt;=N($G$2),N(AN$2)&lt;=N($E26)),AN$2,"")</f>
        <v/>
      </c>
      <c r="AO26" s="25">
        <f>IF(AND(ISNUMBER($E26),N(AO$2)&gt;=N($G$2),N(AO$2)&lt;=N($E26)),AO$2,"")</f>
        <v/>
      </c>
      <c r="AP26" s="25">
        <f>IF(AND(ISNUMBER($E26),N(AP$2)&gt;=N($G$2),N(AP$2)&lt;=N($E26)),AP$2,"")</f>
        <v/>
      </c>
      <c r="AQ26" s="25">
        <f>IF(AND(ISNUMBER($E26),N(AQ$2)&gt;=N($G$2),N(AQ$2)&lt;=N($E26)),AQ$2,"")</f>
        <v/>
      </c>
      <c r="AR26" s="25">
        <f>IF(AND(ISNUMBER($E26),N(AR$2)&gt;=N($G$2),N(AR$2)&lt;=N($E26)),AR$2,"")</f>
        <v/>
      </c>
      <c r="AS26" s="25">
        <f>IF(AND(ISNUMBER($E26),N(AS$2)&gt;=N($G$2),N(AS$2)&lt;=N($E26)),AS$2,"")</f>
        <v/>
      </c>
      <c r="AT26" s="25">
        <f>IF(AND(ISNUMBER($E26),N(AT$2)&gt;=N($G$2),N(AT$2)&lt;=N($E26)),AT$2,"")</f>
        <v/>
      </c>
      <c r="AU26" s="25">
        <f>IF(AND(ISNUMBER($E26),N(AU$2)&gt;=N($G$2),N(AU$2)&lt;=N($E26)),AU$2,"")</f>
        <v/>
      </c>
      <c r="AV26" s="25">
        <f>IF(AND(ISNUMBER($E26),N(AV$2)&gt;=N($G$2),N(AV$2)&lt;=N($E26)),AV$2,"")</f>
        <v/>
      </c>
      <c r="AW26" s="25">
        <f>IF(AND(ISNUMBER($E26),N(AW$2)&gt;=N($G$2),N(AW$2)&lt;=N($E26)),AW$2,"")</f>
        <v/>
      </c>
      <c r="AX26" s="25">
        <f>IF(AND(ISNUMBER($E26),N(AX$2)&gt;=N($G$2),N(AX$2)&lt;=N($E26)),AX$2,"")</f>
        <v/>
      </c>
      <c r="AY26" s="25">
        <f>IF(AND(ISNUMBER($E26),N(AY$2)&gt;=N($G$2),N(AY$2)&lt;=N($E26)),AY$2,"")</f>
        <v/>
      </c>
      <c r="AZ26" s="25">
        <f>IF(AND(ISNUMBER($E26),N(AZ$2)&gt;=N($G$2),N(AZ$2)&lt;=N($E26)),AZ$2,"")</f>
        <v/>
      </c>
      <c r="BA26" s="25">
        <f>IF(AND(ISNUMBER($E26),N(BA$2)&gt;=N($G$2),N(BA$2)&lt;=N($E26)),BA$2,"")</f>
        <v/>
      </c>
      <c r="BB26" s="25">
        <f>IF(AND(ISNUMBER($E26),N(BB$2)&gt;=N($G$2),N(BB$2)&lt;=N($E26)),BB$2,"")</f>
        <v/>
      </c>
      <c r="BC26" s="25">
        <f>IF(AND(ISNUMBER($E26),N(BC$2)&gt;=N($G$2),N(BC$2)&lt;=N($E26)),BC$2,"")</f>
        <v/>
      </c>
      <c r="BD26" s="25">
        <f>IF(AND(ISNUMBER($E26),N(BD$2)&gt;=N($G$2),N(BD$2)&lt;=N($E26)),BD$2,"")</f>
        <v/>
      </c>
      <c r="BE26" s="25">
        <f>IF(AND(ISNUMBER($E26),N(BE$2)&gt;=N($G$2),N(BE$2)&lt;=N($E26)),BE$2,"")</f>
        <v/>
      </c>
      <c r="BF26" s="25">
        <f>IF(AND(ISNUMBER($E26),N(BF$2)&gt;=N($G$2),N(BF$2)&lt;=N($E26)),BF$2,"")</f>
        <v/>
      </c>
      <c r="BG26" s="25">
        <f>IF(AND(ISNUMBER($E26),N(BG$2)&gt;=N($G$2),N(BG$2)&lt;=N($E26)),BG$2,"")</f>
        <v/>
      </c>
      <c r="BH26" s="25">
        <f>IF(AND(ISNUMBER($E26),N(BH$2)&gt;=N($G$2),N(BH$2)&lt;=N($E26)),BH$2,"")</f>
        <v/>
      </c>
      <c r="BI26" s="25">
        <f>IF(AND(ISNUMBER($E26),N(BI$2)&gt;=N($G$2),N(BI$2)&lt;=N($E26)),BI$2,"")</f>
        <v/>
      </c>
      <c r="BJ26" s="25">
        <f>IF(AND(ISNUMBER($E26),N(BJ$2)&gt;=N($G$2),N(BJ$2)&lt;=N($E26)),BJ$2,"")</f>
        <v/>
      </c>
      <c r="BK26" s="25">
        <f>IF(AND(ISNUMBER($E26),N(BK$2)&gt;=N($G$2),N(BK$2)&lt;=N($E26)),BK$2,"")</f>
        <v/>
      </c>
      <c r="BL26" s="25">
        <f>IF(AND(ISNUMBER($E26),N(BL$2)&gt;=N($G$2),N(BL$2)&lt;=N($E26)),BL$2,"")</f>
        <v/>
      </c>
      <c r="BM26" s="25">
        <f>IF(AND(ISNUMBER($E26),N(BM$2)&gt;=N($G$2),N(BM$2)&lt;=N($E26)),BM$2,"")</f>
        <v/>
      </c>
      <c r="BN26" s="25">
        <f>IF(AND(ISNUMBER($E26),N(BN$2)&gt;=N($G$2),N(BN$2)&lt;=N($E26)),BN$2,"")</f>
        <v/>
      </c>
      <c r="BO26" s="25">
        <f>IF(AND(ISNUMBER($E26),N(BO$2)&gt;=N($G$2),N(BO$2)&lt;=N($E26)),BO$2,"")</f>
        <v/>
      </c>
    </row>
    <row r="27" ht="20" customHeight="1">
      <c r="A27" s="21" t="inlineStr">
        <is>
          <t>预估</t>
        </is>
      </c>
      <c r="B27" s="21" t="inlineStr">
        <is>
          <t>第一期</t>
        </is>
      </c>
      <c r="C27" s="22" t="inlineStr">
        <is>
          <t>PAB090·工装图纸绘制</t>
        </is>
      </c>
      <c r="D27" s="23">
        <f>'时间节点计划表'!E14</f>
        <v/>
      </c>
      <c r="E27" s="23">
        <f>IF(COUNT('时间节点计划表'!F14),'时间节点计划表'!F14,"")</f>
        <v/>
      </c>
      <c r="F27" s="24" t="inlineStr"/>
      <c r="G27" s="25">
        <f>IF(AND(ISNUMBER($D27),N(G$2)&gt;=N($G$2),N(G$2)&lt;=N($D27)),G$2,"")</f>
        <v/>
      </c>
      <c r="H27" s="25">
        <f>IF(AND(ISNUMBER($D27),N(H$2)&gt;=N($G$2),N(H$2)&lt;=N($D27)),H$2,"")</f>
        <v/>
      </c>
      <c r="I27" s="25">
        <f>IF(AND(ISNUMBER($D27),N(I$2)&gt;=N($G$2),N(I$2)&lt;=N($D27)),I$2,"")</f>
        <v/>
      </c>
      <c r="J27" s="25">
        <f>IF(AND(ISNUMBER($D27),N(J$2)&gt;=N($G$2),N(J$2)&lt;=N($D27)),J$2,"")</f>
        <v/>
      </c>
      <c r="K27" s="25">
        <f>IF(AND(ISNUMBER($D27),N(K$2)&gt;=N($G$2),N(K$2)&lt;=N($D27)),K$2,"")</f>
        <v/>
      </c>
      <c r="L27" s="25">
        <f>IF(AND(ISNUMBER($D27),N(L$2)&gt;=N($G$2),N(L$2)&lt;=N($D27)),L$2,"")</f>
        <v/>
      </c>
      <c r="M27" s="25">
        <f>IF(AND(ISNUMBER($D27),N(M$2)&gt;=N($G$2),N(M$2)&lt;=N($D27)),M$2,"")</f>
        <v/>
      </c>
      <c r="N27" s="25">
        <f>IF(AND(ISNUMBER($D27),N(N$2)&gt;=N($G$2),N(N$2)&lt;=N($D27)),N$2,"")</f>
        <v/>
      </c>
      <c r="O27" s="25">
        <f>IF(AND(ISNUMBER($D27),N(O$2)&gt;=N($G$2),N(O$2)&lt;=N($D27)),O$2,"")</f>
        <v/>
      </c>
      <c r="P27" s="25">
        <f>IF(AND(ISNUMBER($D27),N(P$2)&gt;=N($G$2),N(P$2)&lt;=N($D27)),P$2,"")</f>
        <v/>
      </c>
      <c r="Q27" s="25">
        <f>IF(AND(ISNUMBER($D27),N(Q$2)&gt;=N($G$2),N(Q$2)&lt;=N($D27)),Q$2,"")</f>
        <v/>
      </c>
      <c r="R27" s="25">
        <f>IF(AND(ISNUMBER($D27),N(R$2)&gt;=N($G$2),N(R$2)&lt;=N($D27)),R$2,"")</f>
        <v/>
      </c>
      <c r="S27" s="25">
        <f>IF(AND(ISNUMBER($D27),N(S$2)&gt;=N($G$2),N(S$2)&lt;=N($D27)),S$2,"")</f>
        <v/>
      </c>
      <c r="T27" s="25">
        <f>IF(AND(ISNUMBER($D27),N(T$2)&gt;=N($G$2),N(T$2)&lt;=N($D27)),T$2,"")</f>
        <v/>
      </c>
      <c r="U27" s="25">
        <f>IF(AND(ISNUMBER($D27),N(U$2)&gt;=N($G$2),N(U$2)&lt;=N($D27)),U$2,"")</f>
        <v/>
      </c>
      <c r="V27" s="25">
        <f>IF(AND(ISNUMBER($D27),N(V$2)&gt;=N($G$2),N(V$2)&lt;=N($D27)),V$2,"")</f>
        <v/>
      </c>
      <c r="W27" s="25">
        <f>IF(AND(ISNUMBER($D27),N(W$2)&gt;=N($G$2),N(W$2)&lt;=N($D27)),W$2,"")</f>
        <v/>
      </c>
      <c r="X27" s="25">
        <f>IF(AND(ISNUMBER($D27),N(X$2)&gt;=N($G$2),N(X$2)&lt;=N($D27)),X$2,"")</f>
        <v/>
      </c>
      <c r="Y27" s="25">
        <f>IF(AND(ISNUMBER($D27),N(Y$2)&gt;=N($G$2),N(Y$2)&lt;=N($D27)),Y$2,"")</f>
        <v/>
      </c>
      <c r="Z27" s="25">
        <f>IF(AND(ISNUMBER($D27),N(Z$2)&gt;=N($G$2),N(Z$2)&lt;=N($D27)),Z$2,"")</f>
        <v/>
      </c>
      <c r="AA27" s="25">
        <f>IF(AND(ISNUMBER($D27),N(AA$2)&gt;=N($G$2),N(AA$2)&lt;=N($D27)),AA$2,"")</f>
        <v/>
      </c>
      <c r="AB27" s="25">
        <f>IF(AND(ISNUMBER($D27),N(AB$2)&gt;=N($G$2),N(AB$2)&lt;=N($D27)),AB$2,"")</f>
        <v/>
      </c>
      <c r="AC27" s="25">
        <f>IF(AND(ISNUMBER($D27),N(AC$2)&gt;=N($G$2),N(AC$2)&lt;=N($D27)),AC$2,"")</f>
        <v/>
      </c>
      <c r="AD27" s="25">
        <f>IF(AND(ISNUMBER($D27),N(AD$2)&gt;=N($G$2),N(AD$2)&lt;=N($D27)),AD$2,"")</f>
        <v/>
      </c>
      <c r="AE27" s="25">
        <f>IF(AND(ISNUMBER($D27),N(AE$2)&gt;=N($G$2),N(AE$2)&lt;=N($D27)),AE$2,"")</f>
        <v/>
      </c>
      <c r="AF27" s="25">
        <f>IF(AND(ISNUMBER($D27),N(AF$2)&gt;=N($G$2),N(AF$2)&lt;=N($D27)),AF$2,"")</f>
        <v/>
      </c>
      <c r="AG27" s="25">
        <f>IF(AND(ISNUMBER($D27),N(AG$2)&gt;=N($G$2),N(AG$2)&lt;=N($D27)),AG$2,"")</f>
        <v/>
      </c>
      <c r="AH27" s="25">
        <f>IF(AND(ISNUMBER($D27),N(AH$2)&gt;=N($G$2),N(AH$2)&lt;=N($D27)),AH$2,"")</f>
        <v/>
      </c>
      <c r="AI27" s="25">
        <f>IF(AND(ISNUMBER($D27),N(AI$2)&gt;=N($G$2),N(AI$2)&lt;=N($D27)),AI$2,"")</f>
        <v/>
      </c>
      <c r="AJ27" s="25">
        <f>IF(AND(ISNUMBER($D27),N(AJ$2)&gt;=N($G$2),N(AJ$2)&lt;=N($D27)),AJ$2,"")</f>
        <v/>
      </c>
      <c r="AK27" s="25">
        <f>IF(AND(ISNUMBER($D27),N(AK$2)&gt;=N($G$2),N(AK$2)&lt;=N($D27)),AK$2,"")</f>
        <v/>
      </c>
      <c r="AL27" s="25">
        <f>IF(AND(ISNUMBER($D27),N(AL$2)&gt;=N($G$2),N(AL$2)&lt;=N($D27)),AL$2,"")</f>
        <v/>
      </c>
      <c r="AM27" s="25">
        <f>IF(AND(ISNUMBER($D27),N(AM$2)&gt;=N($G$2),N(AM$2)&lt;=N($D27)),AM$2,"")</f>
        <v/>
      </c>
      <c r="AN27" s="25">
        <f>IF(AND(ISNUMBER($D27),N(AN$2)&gt;=N($G$2),N(AN$2)&lt;=N($D27)),AN$2,"")</f>
        <v/>
      </c>
      <c r="AO27" s="25">
        <f>IF(AND(ISNUMBER($D27),N(AO$2)&gt;=N($G$2),N(AO$2)&lt;=N($D27)),AO$2,"")</f>
        <v/>
      </c>
      <c r="AP27" s="25">
        <f>IF(AND(ISNUMBER($D27),N(AP$2)&gt;=N($G$2),N(AP$2)&lt;=N($D27)),AP$2,"")</f>
        <v/>
      </c>
      <c r="AQ27" s="25">
        <f>IF(AND(ISNUMBER($D27),N(AQ$2)&gt;=N($G$2),N(AQ$2)&lt;=N($D27)),AQ$2,"")</f>
        <v/>
      </c>
      <c r="AR27" s="25">
        <f>IF(AND(ISNUMBER($D27),N(AR$2)&gt;=N($G$2),N(AR$2)&lt;=N($D27)),AR$2,"")</f>
        <v/>
      </c>
      <c r="AS27" s="25">
        <f>IF(AND(ISNUMBER($D27),N(AS$2)&gt;=N($G$2),N(AS$2)&lt;=N($D27)),AS$2,"")</f>
        <v/>
      </c>
      <c r="AT27" s="25">
        <f>IF(AND(ISNUMBER($D27),N(AT$2)&gt;=N($G$2),N(AT$2)&lt;=N($D27)),AT$2,"")</f>
        <v/>
      </c>
      <c r="AU27" s="25">
        <f>IF(AND(ISNUMBER($D27),N(AU$2)&gt;=N($G$2),N(AU$2)&lt;=N($D27)),AU$2,"")</f>
        <v/>
      </c>
      <c r="AV27" s="25">
        <f>IF(AND(ISNUMBER($D27),N(AV$2)&gt;=N($G$2),N(AV$2)&lt;=N($D27)),AV$2,"")</f>
        <v/>
      </c>
      <c r="AW27" s="25">
        <f>IF(AND(ISNUMBER($D27),N(AW$2)&gt;=N($G$2),N(AW$2)&lt;=N($D27)),AW$2,"")</f>
        <v/>
      </c>
      <c r="AX27" s="25">
        <f>IF(AND(ISNUMBER($D27),N(AX$2)&gt;=N($G$2),N(AX$2)&lt;=N($D27)),AX$2,"")</f>
        <v/>
      </c>
      <c r="AY27" s="25">
        <f>IF(AND(ISNUMBER($D27),N(AY$2)&gt;=N($G$2),N(AY$2)&lt;=N($D27)),AY$2,"")</f>
        <v/>
      </c>
      <c r="AZ27" s="25">
        <f>IF(AND(ISNUMBER($D27),N(AZ$2)&gt;=N($G$2),N(AZ$2)&lt;=N($D27)),AZ$2,"")</f>
        <v/>
      </c>
      <c r="BA27" s="25">
        <f>IF(AND(ISNUMBER($D27),N(BA$2)&gt;=N($G$2),N(BA$2)&lt;=N($D27)),BA$2,"")</f>
        <v/>
      </c>
      <c r="BB27" s="25">
        <f>IF(AND(ISNUMBER($D27),N(BB$2)&gt;=N($G$2),N(BB$2)&lt;=N($D27)),BB$2,"")</f>
        <v/>
      </c>
      <c r="BC27" s="25">
        <f>IF(AND(ISNUMBER($D27),N(BC$2)&gt;=N($G$2),N(BC$2)&lt;=N($D27)),BC$2,"")</f>
        <v/>
      </c>
      <c r="BD27" s="25">
        <f>IF(AND(ISNUMBER($D27),N(BD$2)&gt;=N($G$2),N(BD$2)&lt;=N($D27)),BD$2,"")</f>
        <v/>
      </c>
      <c r="BE27" s="25">
        <f>IF(AND(ISNUMBER($D27),N(BE$2)&gt;=N($G$2),N(BE$2)&lt;=N($D27)),BE$2,"")</f>
        <v/>
      </c>
      <c r="BF27" s="25">
        <f>IF(AND(ISNUMBER($D27),N(BF$2)&gt;=N($G$2),N(BF$2)&lt;=N($D27)),BF$2,"")</f>
        <v/>
      </c>
      <c r="BG27" s="25">
        <f>IF(AND(ISNUMBER($D27),N(BG$2)&gt;=N($G$2),N(BG$2)&lt;=N($D27)),BG$2,"")</f>
        <v/>
      </c>
      <c r="BH27" s="25">
        <f>IF(AND(ISNUMBER($D27),N(BH$2)&gt;=N($G$2),N(BH$2)&lt;=N($D27)),BH$2,"")</f>
        <v/>
      </c>
      <c r="BI27" s="25">
        <f>IF(AND(ISNUMBER($D27),N(BI$2)&gt;=N($G$2),N(BI$2)&lt;=N($D27)),BI$2,"")</f>
        <v/>
      </c>
      <c r="BJ27" s="25">
        <f>IF(AND(ISNUMBER($D27),N(BJ$2)&gt;=N($G$2),N(BJ$2)&lt;=N($D27)),BJ$2,"")</f>
        <v/>
      </c>
      <c r="BK27" s="25">
        <f>IF(AND(ISNUMBER($D27),N(BK$2)&gt;=N($G$2),N(BK$2)&lt;=N($D27)),BK$2,"")</f>
        <v/>
      </c>
      <c r="BL27" s="25">
        <f>IF(AND(ISNUMBER($D27),N(BL$2)&gt;=N($G$2),N(BL$2)&lt;=N($D27)),BL$2,"")</f>
        <v/>
      </c>
      <c r="BM27" s="25">
        <f>IF(AND(ISNUMBER($D27),N(BM$2)&gt;=N($G$2),N(BM$2)&lt;=N($D27)),BM$2,"")</f>
        <v/>
      </c>
      <c r="BN27" s="25">
        <f>IF(AND(ISNUMBER($D27),N(BN$2)&gt;=N($G$2),N(BN$2)&lt;=N($D27)),BN$2,"")</f>
        <v/>
      </c>
      <c r="BO27" s="25">
        <f>IF(AND(ISNUMBER($D27),N(BO$2)&gt;=N($G$2),N(BO$2)&lt;=N($D27)),BO$2,"")</f>
        <v/>
      </c>
    </row>
    <row r="28" ht="20" customHeight="1">
      <c r="A28" s="26" t="inlineStr">
        <is>
          <t>实际</t>
        </is>
      </c>
      <c r="B28" s="26" t="inlineStr">
        <is>
          <t>第一期</t>
        </is>
      </c>
      <c r="C28" s="27" t="inlineStr">
        <is>
          <t>PAB090·工装图纸绘制</t>
        </is>
      </c>
      <c r="D28" s="28">
        <f>'时间节点计划表'!E14</f>
        <v/>
      </c>
      <c r="E28" s="28">
        <f>IF(COUNT('时间节点计划表'!F14),'时间节点计划表'!F14,"")</f>
        <v/>
      </c>
      <c r="F28" s="29">
        <f>IF(OR(D28="",E28=""),"待填",E28-D28)</f>
        <v/>
      </c>
      <c r="G28" s="25">
        <f>IF(AND(ISNUMBER($E28),N(G$2)&gt;=N($G$2),N(G$2)&lt;=N($E28)),G$2,"")</f>
        <v/>
      </c>
      <c r="H28" s="25">
        <f>IF(AND(ISNUMBER($E28),N(H$2)&gt;=N($G$2),N(H$2)&lt;=N($E28)),H$2,"")</f>
        <v/>
      </c>
      <c r="I28" s="25">
        <f>IF(AND(ISNUMBER($E28),N(I$2)&gt;=N($G$2),N(I$2)&lt;=N($E28)),I$2,"")</f>
        <v/>
      </c>
      <c r="J28" s="25">
        <f>IF(AND(ISNUMBER($E28),N(J$2)&gt;=N($G$2),N(J$2)&lt;=N($E28)),J$2,"")</f>
        <v/>
      </c>
      <c r="K28" s="25">
        <f>IF(AND(ISNUMBER($E28),N(K$2)&gt;=N($G$2),N(K$2)&lt;=N($E28)),K$2,"")</f>
        <v/>
      </c>
      <c r="L28" s="25">
        <f>IF(AND(ISNUMBER($E28),N(L$2)&gt;=N($G$2),N(L$2)&lt;=N($E28)),L$2,"")</f>
        <v/>
      </c>
      <c r="M28" s="25">
        <f>IF(AND(ISNUMBER($E28),N(M$2)&gt;=N($G$2),N(M$2)&lt;=N($E28)),M$2,"")</f>
        <v/>
      </c>
      <c r="N28" s="25">
        <f>IF(AND(ISNUMBER($E28),N(N$2)&gt;=N($G$2),N(N$2)&lt;=N($E28)),N$2,"")</f>
        <v/>
      </c>
      <c r="O28" s="25">
        <f>IF(AND(ISNUMBER($E28),N(O$2)&gt;=N($G$2),N(O$2)&lt;=N($E28)),O$2,"")</f>
        <v/>
      </c>
      <c r="P28" s="25">
        <f>IF(AND(ISNUMBER($E28),N(P$2)&gt;=N($G$2),N(P$2)&lt;=N($E28)),P$2,"")</f>
        <v/>
      </c>
      <c r="Q28" s="25">
        <f>IF(AND(ISNUMBER($E28),N(Q$2)&gt;=N($G$2),N(Q$2)&lt;=N($E28)),Q$2,"")</f>
        <v/>
      </c>
      <c r="R28" s="25">
        <f>IF(AND(ISNUMBER($E28),N(R$2)&gt;=N($G$2),N(R$2)&lt;=N($E28)),R$2,"")</f>
        <v/>
      </c>
      <c r="S28" s="25">
        <f>IF(AND(ISNUMBER($E28),N(S$2)&gt;=N($G$2),N(S$2)&lt;=N($E28)),S$2,"")</f>
        <v/>
      </c>
      <c r="T28" s="25">
        <f>IF(AND(ISNUMBER($E28),N(T$2)&gt;=N($G$2),N(T$2)&lt;=N($E28)),T$2,"")</f>
        <v/>
      </c>
      <c r="U28" s="25">
        <f>IF(AND(ISNUMBER($E28),N(U$2)&gt;=N($G$2),N(U$2)&lt;=N($E28)),U$2,"")</f>
        <v/>
      </c>
      <c r="V28" s="25">
        <f>IF(AND(ISNUMBER($E28),N(V$2)&gt;=N($G$2),N(V$2)&lt;=N($E28)),V$2,"")</f>
        <v/>
      </c>
      <c r="W28" s="25">
        <f>IF(AND(ISNUMBER($E28),N(W$2)&gt;=N($G$2),N(W$2)&lt;=N($E28)),W$2,"")</f>
        <v/>
      </c>
      <c r="X28" s="25">
        <f>IF(AND(ISNUMBER($E28),N(X$2)&gt;=N($G$2),N(X$2)&lt;=N($E28)),X$2,"")</f>
        <v/>
      </c>
      <c r="Y28" s="25">
        <f>IF(AND(ISNUMBER($E28),N(Y$2)&gt;=N($G$2),N(Y$2)&lt;=N($E28)),Y$2,"")</f>
        <v/>
      </c>
      <c r="Z28" s="25">
        <f>IF(AND(ISNUMBER($E28),N(Z$2)&gt;=N($G$2),N(Z$2)&lt;=N($E28)),Z$2,"")</f>
        <v/>
      </c>
      <c r="AA28" s="25">
        <f>IF(AND(ISNUMBER($E28),N(AA$2)&gt;=N($G$2),N(AA$2)&lt;=N($E28)),AA$2,"")</f>
        <v/>
      </c>
      <c r="AB28" s="25">
        <f>IF(AND(ISNUMBER($E28),N(AB$2)&gt;=N($G$2),N(AB$2)&lt;=N($E28)),AB$2,"")</f>
        <v/>
      </c>
      <c r="AC28" s="25">
        <f>IF(AND(ISNUMBER($E28),N(AC$2)&gt;=N($G$2),N(AC$2)&lt;=N($E28)),AC$2,"")</f>
        <v/>
      </c>
      <c r="AD28" s="25">
        <f>IF(AND(ISNUMBER($E28),N(AD$2)&gt;=N($G$2),N(AD$2)&lt;=N($E28)),AD$2,"")</f>
        <v/>
      </c>
      <c r="AE28" s="25">
        <f>IF(AND(ISNUMBER($E28),N(AE$2)&gt;=N($G$2),N(AE$2)&lt;=N($E28)),AE$2,"")</f>
        <v/>
      </c>
      <c r="AF28" s="25">
        <f>IF(AND(ISNUMBER($E28),N(AF$2)&gt;=N($G$2),N(AF$2)&lt;=N($E28)),AF$2,"")</f>
        <v/>
      </c>
      <c r="AG28" s="25">
        <f>IF(AND(ISNUMBER($E28),N(AG$2)&gt;=N($G$2),N(AG$2)&lt;=N($E28)),AG$2,"")</f>
        <v/>
      </c>
      <c r="AH28" s="25">
        <f>IF(AND(ISNUMBER($E28),N(AH$2)&gt;=N($G$2),N(AH$2)&lt;=N($E28)),AH$2,"")</f>
        <v/>
      </c>
      <c r="AI28" s="25">
        <f>IF(AND(ISNUMBER($E28),N(AI$2)&gt;=N($G$2),N(AI$2)&lt;=N($E28)),AI$2,"")</f>
        <v/>
      </c>
      <c r="AJ28" s="25">
        <f>IF(AND(ISNUMBER($E28),N(AJ$2)&gt;=N($G$2),N(AJ$2)&lt;=N($E28)),AJ$2,"")</f>
        <v/>
      </c>
      <c r="AK28" s="25">
        <f>IF(AND(ISNUMBER($E28),N(AK$2)&gt;=N($G$2),N(AK$2)&lt;=N($E28)),AK$2,"")</f>
        <v/>
      </c>
      <c r="AL28" s="25">
        <f>IF(AND(ISNUMBER($E28),N(AL$2)&gt;=N($G$2),N(AL$2)&lt;=N($E28)),AL$2,"")</f>
        <v/>
      </c>
      <c r="AM28" s="25">
        <f>IF(AND(ISNUMBER($E28),N(AM$2)&gt;=N($G$2),N(AM$2)&lt;=N($E28)),AM$2,"")</f>
        <v/>
      </c>
      <c r="AN28" s="25">
        <f>IF(AND(ISNUMBER($E28),N(AN$2)&gt;=N($G$2),N(AN$2)&lt;=N($E28)),AN$2,"")</f>
        <v/>
      </c>
      <c r="AO28" s="25">
        <f>IF(AND(ISNUMBER($E28),N(AO$2)&gt;=N($G$2),N(AO$2)&lt;=N($E28)),AO$2,"")</f>
        <v/>
      </c>
      <c r="AP28" s="25">
        <f>IF(AND(ISNUMBER($E28),N(AP$2)&gt;=N($G$2),N(AP$2)&lt;=N($E28)),AP$2,"")</f>
        <v/>
      </c>
      <c r="AQ28" s="25">
        <f>IF(AND(ISNUMBER($E28),N(AQ$2)&gt;=N($G$2),N(AQ$2)&lt;=N($E28)),AQ$2,"")</f>
        <v/>
      </c>
      <c r="AR28" s="25">
        <f>IF(AND(ISNUMBER($E28),N(AR$2)&gt;=N($G$2),N(AR$2)&lt;=N($E28)),AR$2,"")</f>
        <v/>
      </c>
      <c r="AS28" s="25">
        <f>IF(AND(ISNUMBER($E28),N(AS$2)&gt;=N($G$2),N(AS$2)&lt;=N($E28)),AS$2,"")</f>
        <v/>
      </c>
      <c r="AT28" s="25">
        <f>IF(AND(ISNUMBER($E28),N(AT$2)&gt;=N($G$2),N(AT$2)&lt;=N($E28)),AT$2,"")</f>
        <v/>
      </c>
      <c r="AU28" s="25">
        <f>IF(AND(ISNUMBER($E28),N(AU$2)&gt;=N($G$2),N(AU$2)&lt;=N($E28)),AU$2,"")</f>
        <v/>
      </c>
      <c r="AV28" s="25">
        <f>IF(AND(ISNUMBER($E28),N(AV$2)&gt;=N($G$2),N(AV$2)&lt;=N($E28)),AV$2,"")</f>
        <v/>
      </c>
      <c r="AW28" s="25">
        <f>IF(AND(ISNUMBER($E28),N(AW$2)&gt;=N($G$2),N(AW$2)&lt;=N($E28)),AW$2,"")</f>
        <v/>
      </c>
      <c r="AX28" s="25">
        <f>IF(AND(ISNUMBER($E28),N(AX$2)&gt;=N($G$2),N(AX$2)&lt;=N($E28)),AX$2,"")</f>
        <v/>
      </c>
      <c r="AY28" s="25">
        <f>IF(AND(ISNUMBER($E28),N(AY$2)&gt;=N($G$2),N(AY$2)&lt;=N($E28)),AY$2,"")</f>
        <v/>
      </c>
      <c r="AZ28" s="25">
        <f>IF(AND(ISNUMBER($E28),N(AZ$2)&gt;=N($G$2),N(AZ$2)&lt;=N($E28)),AZ$2,"")</f>
        <v/>
      </c>
      <c r="BA28" s="25">
        <f>IF(AND(ISNUMBER($E28),N(BA$2)&gt;=N($G$2),N(BA$2)&lt;=N($E28)),BA$2,"")</f>
        <v/>
      </c>
      <c r="BB28" s="25">
        <f>IF(AND(ISNUMBER($E28),N(BB$2)&gt;=N($G$2),N(BB$2)&lt;=N($E28)),BB$2,"")</f>
        <v/>
      </c>
      <c r="BC28" s="25">
        <f>IF(AND(ISNUMBER($E28),N(BC$2)&gt;=N($G$2),N(BC$2)&lt;=N($E28)),BC$2,"")</f>
        <v/>
      </c>
      <c r="BD28" s="25">
        <f>IF(AND(ISNUMBER($E28),N(BD$2)&gt;=N($G$2),N(BD$2)&lt;=N($E28)),BD$2,"")</f>
        <v/>
      </c>
      <c r="BE28" s="25">
        <f>IF(AND(ISNUMBER($E28),N(BE$2)&gt;=N($G$2),N(BE$2)&lt;=N($E28)),BE$2,"")</f>
        <v/>
      </c>
      <c r="BF28" s="25">
        <f>IF(AND(ISNUMBER($E28),N(BF$2)&gt;=N($G$2),N(BF$2)&lt;=N($E28)),BF$2,"")</f>
        <v/>
      </c>
      <c r="BG28" s="25">
        <f>IF(AND(ISNUMBER($E28),N(BG$2)&gt;=N($G$2),N(BG$2)&lt;=N($E28)),BG$2,"")</f>
        <v/>
      </c>
      <c r="BH28" s="25">
        <f>IF(AND(ISNUMBER($E28),N(BH$2)&gt;=N($G$2),N(BH$2)&lt;=N($E28)),BH$2,"")</f>
        <v/>
      </c>
      <c r="BI28" s="25">
        <f>IF(AND(ISNUMBER($E28),N(BI$2)&gt;=N($G$2),N(BI$2)&lt;=N($E28)),BI$2,"")</f>
        <v/>
      </c>
      <c r="BJ28" s="25">
        <f>IF(AND(ISNUMBER($E28),N(BJ$2)&gt;=N($G$2),N(BJ$2)&lt;=N($E28)),BJ$2,"")</f>
        <v/>
      </c>
      <c r="BK28" s="25">
        <f>IF(AND(ISNUMBER($E28),N(BK$2)&gt;=N($G$2),N(BK$2)&lt;=N($E28)),BK$2,"")</f>
        <v/>
      </c>
      <c r="BL28" s="25">
        <f>IF(AND(ISNUMBER($E28),N(BL$2)&gt;=N($G$2),N(BL$2)&lt;=N($E28)),BL$2,"")</f>
        <v/>
      </c>
      <c r="BM28" s="25">
        <f>IF(AND(ISNUMBER($E28),N(BM$2)&gt;=N($G$2),N(BM$2)&lt;=N($E28)),BM$2,"")</f>
        <v/>
      </c>
      <c r="BN28" s="25">
        <f>IF(AND(ISNUMBER($E28),N(BN$2)&gt;=N($G$2),N(BN$2)&lt;=N($E28)),BN$2,"")</f>
        <v/>
      </c>
      <c r="BO28" s="25">
        <f>IF(AND(ISNUMBER($E28),N(BO$2)&gt;=N($G$2),N(BO$2)&lt;=N($E28)),BO$2,"")</f>
        <v/>
      </c>
    </row>
    <row r="29" ht="20" customHeight="1">
      <c r="A29" s="21" t="inlineStr">
        <is>
          <t>预估</t>
        </is>
      </c>
      <c r="B29" s="21" t="inlineStr">
        <is>
          <t>第一期</t>
        </is>
      </c>
      <c r="C29" s="22" t="inlineStr">
        <is>
          <t>PAB090·工装实物到位</t>
        </is>
      </c>
      <c r="D29" s="23">
        <f>'时间节点计划表'!E15</f>
        <v/>
      </c>
      <c r="E29" s="23">
        <f>IF(COUNT('时间节点计划表'!F15),'时间节点计划表'!F15,"")</f>
        <v/>
      </c>
      <c r="F29" s="24" t="inlineStr"/>
      <c r="G29" s="25">
        <f>IF(AND(ISNUMBER($D29),N(G$2)&gt;=N($G$2),N(G$2)&lt;=N($D29)),G$2,"")</f>
        <v/>
      </c>
      <c r="H29" s="25">
        <f>IF(AND(ISNUMBER($D29),N(H$2)&gt;=N($G$2),N(H$2)&lt;=N($D29)),H$2,"")</f>
        <v/>
      </c>
      <c r="I29" s="25">
        <f>IF(AND(ISNUMBER($D29),N(I$2)&gt;=N($G$2),N(I$2)&lt;=N($D29)),I$2,"")</f>
        <v/>
      </c>
      <c r="J29" s="25">
        <f>IF(AND(ISNUMBER($D29),N(J$2)&gt;=N($G$2),N(J$2)&lt;=N($D29)),J$2,"")</f>
        <v/>
      </c>
      <c r="K29" s="25">
        <f>IF(AND(ISNUMBER($D29),N(K$2)&gt;=N($G$2),N(K$2)&lt;=N($D29)),K$2,"")</f>
        <v/>
      </c>
      <c r="L29" s="25">
        <f>IF(AND(ISNUMBER($D29),N(L$2)&gt;=N($G$2),N(L$2)&lt;=N($D29)),L$2,"")</f>
        <v/>
      </c>
      <c r="M29" s="25">
        <f>IF(AND(ISNUMBER($D29),N(M$2)&gt;=N($G$2),N(M$2)&lt;=N($D29)),M$2,"")</f>
        <v/>
      </c>
      <c r="N29" s="25">
        <f>IF(AND(ISNUMBER($D29),N(N$2)&gt;=N($G$2),N(N$2)&lt;=N($D29)),N$2,"")</f>
        <v/>
      </c>
      <c r="O29" s="25">
        <f>IF(AND(ISNUMBER($D29),N(O$2)&gt;=N($G$2),N(O$2)&lt;=N($D29)),O$2,"")</f>
        <v/>
      </c>
      <c r="P29" s="25">
        <f>IF(AND(ISNUMBER($D29),N(P$2)&gt;=N($G$2),N(P$2)&lt;=N($D29)),P$2,"")</f>
        <v/>
      </c>
      <c r="Q29" s="25">
        <f>IF(AND(ISNUMBER($D29),N(Q$2)&gt;=N($G$2),N(Q$2)&lt;=N($D29)),Q$2,"")</f>
        <v/>
      </c>
      <c r="R29" s="25">
        <f>IF(AND(ISNUMBER($D29),N(R$2)&gt;=N($G$2),N(R$2)&lt;=N($D29)),R$2,"")</f>
        <v/>
      </c>
      <c r="S29" s="25">
        <f>IF(AND(ISNUMBER($D29),N(S$2)&gt;=N($G$2),N(S$2)&lt;=N($D29)),S$2,"")</f>
        <v/>
      </c>
      <c r="T29" s="25">
        <f>IF(AND(ISNUMBER($D29),N(T$2)&gt;=N($G$2),N(T$2)&lt;=N($D29)),T$2,"")</f>
        <v/>
      </c>
      <c r="U29" s="25">
        <f>IF(AND(ISNUMBER($D29),N(U$2)&gt;=N($G$2),N(U$2)&lt;=N($D29)),U$2,"")</f>
        <v/>
      </c>
      <c r="V29" s="25">
        <f>IF(AND(ISNUMBER($D29),N(V$2)&gt;=N($G$2),N(V$2)&lt;=N($D29)),V$2,"")</f>
        <v/>
      </c>
      <c r="W29" s="25">
        <f>IF(AND(ISNUMBER($D29),N(W$2)&gt;=N($G$2),N(W$2)&lt;=N($D29)),W$2,"")</f>
        <v/>
      </c>
      <c r="X29" s="25">
        <f>IF(AND(ISNUMBER($D29),N(X$2)&gt;=N($G$2),N(X$2)&lt;=N($D29)),X$2,"")</f>
        <v/>
      </c>
      <c r="Y29" s="25">
        <f>IF(AND(ISNUMBER($D29),N(Y$2)&gt;=N($G$2),N(Y$2)&lt;=N($D29)),Y$2,"")</f>
        <v/>
      </c>
      <c r="Z29" s="25">
        <f>IF(AND(ISNUMBER($D29),N(Z$2)&gt;=N($G$2),N(Z$2)&lt;=N($D29)),Z$2,"")</f>
        <v/>
      </c>
      <c r="AA29" s="25">
        <f>IF(AND(ISNUMBER($D29),N(AA$2)&gt;=N($G$2),N(AA$2)&lt;=N($D29)),AA$2,"")</f>
        <v/>
      </c>
      <c r="AB29" s="25">
        <f>IF(AND(ISNUMBER($D29),N(AB$2)&gt;=N($G$2),N(AB$2)&lt;=N($D29)),AB$2,"")</f>
        <v/>
      </c>
      <c r="AC29" s="25">
        <f>IF(AND(ISNUMBER($D29),N(AC$2)&gt;=N($G$2),N(AC$2)&lt;=N($D29)),AC$2,"")</f>
        <v/>
      </c>
      <c r="AD29" s="25">
        <f>IF(AND(ISNUMBER($D29),N(AD$2)&gt;=N($G$2),N(AD$2)&lt;=N($D29)),AD$2,"")</f>
        <v/>
      </c>
      <c r="AE29" s="25">
        <f>IF(AND(ISNUMBER($D29),N(AE$2)&gt;=N($G$2),N(AE$2)&lt;=N($D29)),AE$2,"")</f>
        <v/>
      </c>
      <c r="AF29" s="25">
        <f>IF(AND(ISNUMBER($D29),N(AF$2)&gt;=N($G$2),N(AF$2)&lt;=N($D29)),AF$2,"")</f>
        <v/>
      </c>
      <c r="AG29" s="25">
        <f>IF(AND(ISNUMBER($D29),N(AG$2)&gt;=N($G$2),N(AG$2)&lt;=N($D29)),AG$2,"")</f>
        <v/>
      </c>
      <c r="AH29" s="25">
        <f>IF(AND(ISNUMBER($D29),N(AH$2)&gt;=N($G$2),N(AH$2)&lt;=N($D29)),AH$2,"")</f>
        <v/>
      </c>
      <c r="AI29" s="25">
        <f>IF(AND(ISNUMBER($D29),N(AI$2)&gt;=N($G$2),N(AI$2)&lt;=N($D29)),AI$2,"")</f>
        <v/>
      </c>
      <c r="AJ29" s="25">
        <f>IF(AND(ISNUMBER($D29),N(AJ$2)&gt;=N($G$2),N(AJ$2)&lt;=N($D29)),AJ$2,"")</f>
        <v/>
      </c>
      <c r="AK29" s="25">
        <f>IF(AND(ISNUMBER($D29),N(AK$2)&gt;=N($G$2),N(AK$2)&lt;=N($D29)),AK$2,"")</f>
        <v/>
      </c>
      <c r="AL29" s="25">
        <f>IF(AND(ISNUMBER($D29),N(AL$2)&gt;=N($G$2),N(AL$2)&lt;=N($D29)),AL$2,"")</f>
        <v/>
      </c>
      <c r="AM29" s="25">
        <f>IF(AND(ISNUMBER($D29),N(AM$2)&gt;=N($G$2),N(AM$2)&lt;=N($D29)),AM$2,"")</f>
        <v/>
      </c>
      <c r="AN29" s="25">
        <f>IF(AND(ISNUMBER($D29),N(AN$2)&gt;=N($G$2),N(AN$2)&lt;=N($D29)),AN$2,"")</f>
        <v/>
      </c>
      <c r="AO29" s="25">
        <f>IF(AND(ISNUMBER($D29),N(AO$2)&gt;=N($G$2),N(AO$2)&lt;=N($D29)),AO$2,"")</f>
        <v/>
      </c>
      <c r="AP29" s="25">
        <f>IF(AND(ISNUMBER($D29),N(AP$2)&gt;=N($G$2),N(AP$2)&lt;=N($D29)),AP$2,"")</f>
        <v/>
      </c>
      <c r="AQ29" s="25">
        <f>IF(AND(ISNUMBER($D29),N(AQ$2)&gt;=N($G$2),N(AQ$2)&lt;=N($D29)),AQ$2,"")</f>
        <v/>
      </c>
      <c r="AR29" s="25">
        <f>IF(AND(ISNUMBER($D29),N(AR$2)&gt;=N($G$2),N(AR$2)&lt;=N($D29)),AR$2,"")</f>
        <v/>
      </c>
      <c r="AS29" s="25">
        <f>IF(AND(ISNUMBER($D29),N(AS$2)&gt;=N($G$2),N(AS$2)&lt;=N($D29)),AS$2,"")</f>
        <v/>
      </c>
      <c r="AT29" s="25">
        <f>IF(AND(ISNUMBER($D29),N(AT$2)&gt;=N($G$2),N(AT$2)&lt;=N($D29)),AT$2,"")</f>
        <v/>
      </c>
      <c r="AU29" s="25">
        <f>IF(AND(ISNUMBER($D29),N(AU$2)&gt;=N($G$2),N(AU$2)&lt;=N($D29)),AU$2,"")</f>
        <v/>
      </c>
      <c r="AV29" s="25">
        <f>IF(AND(ISNUMBER($D29),N(AV$2)&gt;=N($G$2),N(AV$2)&lt;=N($D29)),AV$2,"")</f>
        <v/>
      </c>
      <c r="AW29" s="25">
        <f>IF(AND(ISNUMBER($D29),N(AW$2)&gt;=N($G$2),N(AW$2)&lt;=N($D29)),AW$2,"")</f>
        <v/>
      </c>
      <c r="AX29" s="25">
        <f>IF(AND(ISNUMBER($D29),N(AX$2)&gt;=N($G$2),N(AX$2)&lt;=N($D29)),AX$2,"")</f>
        <v/>
      </c>
      <c r="AY29" s="25">
        <f>IF(AND(ISNUMBER($D29),N(AY$2)&gt;=N($G$2),N(AY$2)&lt;=N($D29)),AY$2,"")</f>
        <v/>
      </c>
      <c r="AZ29" s="25">
        <f>IF(AND(ISNUMBER($D29),N(AZ$2)&gt;=N($G$2),N(AZ$2)&lt;=N($D29)),AZ$2,"")</f>
        <v/>
      </c>
      <c r="BA29" s="25">
        <f>IF(AND(ISNUMBER($D29),N(BA$2)&gt;=N($G$2),N(BA$2)&lt;=N($D29)),BA$2,"")</f>
        <v/>
      </c>
      <c r="BB29" s="25">
        <f>IF(AND(ISNUMBER($D29),N(BB$2)&gt;=N($G$2),N(BB$2)&lt;=N($D29)),BB$2,"")</f>
        <v/>
      </c>
      <c r="BC29" s="25">
        <f>IF(AND(ISNUMBER($D29),N(BC$2)&gt;=N($G$2),N(BC$2)&lt;=N($D29)),BC$2,"")</f>
        <v/>
      </c>
      <c r="BD29" s="25">
        <f>IF(AND(ISNUMBER($D29),N(BD$2)&gt;=N($G$2),N(BD$2)&lt;=N($D29)),BD$2,"")</f>
        <v/>
      </c>
      <c r="BE29" s="25">
        <f>IF(AND(ISNUMBER($D29),N(BE$2)&gt;=N($G$2),N(BE$2)&lt;=N($D29)),BE$2,"")</f>
        <v/>
      </c>
      <c r="BF29" s="25">
        <f>IF(AND(ISNUMBER($D29),N(BF$2)&gt;=N($G$2),N(BF$2)&lt;=N($D29)),BF$2,"")</f>
        <v/>
      </c>
      <c r="BG29" s="25">
        <f>IF(AND(ISNUMBER($D29),N(BG$2)&gt;=N($G$2),N(BG$2)&lt;=N($D29)),BG$2,"")</f>
        <v/>
      </c>
      <c r="BH29" s="25">
        <f>IF(AND(ISNUMBER($D29),N(BH$2)&gt;=N($G$2),N(BH$2)&lt;=N($D29)),BH$2,"")</f>
        <v/>
      </c>
      <c r="BI29" s="25">
        <f>IF(AND(ISNUMBER($D29),N(BI$2)&gt;=N($G$2),N(BI$2)&lt;=N($D29)),BI$2,"")</f>
        <v/>
      </c>
      <c r="BJ29" s="25">
        <f>IF(AND(ISNUMBER($D29),N(BJ$2)&gt;=N($G$2),N(BJ$2)&lt;=N($D29)),BJ$2,"")</f>
        <v/>
      </c>
      <c r="BK29" s="25">
        <f>IF(AND(ISNUMBER($D29),N(BK$2)&gt;=N($G$2),N(BK$2)&lt;=N($D29)),BK$2,"")</f>
        <v/>
      </c>
      <c r="BL29" s="25">
        <f>IF(AND(ISNUMBER($D29),N(BL$2)&gt;=N($G$2),N(BL$2)&lt;=N($D29)),BL$2,"")</f>
        <v/>
      </c>
      <c r="BM29" s="25">
        <f>IF(AND(ISNUMBER($D29),N(BM$2)&gt;=N($G$2),N(BM$2)&lt;=N($D29)),BM$2,"")</f>
        <v/>
      </c>
      <c r="BN29" s="25">
        <f>IF(AND(ISNUMBER($D29),N(BN$2)&gt;=N($G$2),N(BN$2)&lt;=N($D29)),BN$2,"")</f>
        <v/>
      </c>
      <c r="BO29" s="25">
        <f>IF(AND(ISNUMBER($D29),N(BO$2)&gt;=N($G$2),N(BO$2)&lt;=N($D29)),BO$2,"")</f>
        <v/>
      </c>
    </row>
    <row r="30" ht="20" customHeight="1">
      <c r="A30" s="26" t="inlineStr">
        <is>
          <t>实际</t>
        </is>
      </c>
      <c r="B30" s="26" t="inlineStr">
        <is>
          <t>第一期</t>
        </is>
      </c>
      <c r="C30" s="27" t="inlineStr">
        <is>
          <t>PAB090·工装实物到位</t>
        </is>
      </c>
      <c r="D30" s="28">
        <f>'时间节点计划表'!E15</f>
        <v/>
      </c>
      <c r="E30" s="28">
        <f>IF(COUNT('时间节点计划表'!F15),'时间节点计划表'!F15,"")</f>
        <v/>
      </c>
      <c r="F30" s="29">
        <f>IF(OR(D30="",E30=""),"待填",E30-D30)</f>
        <v/>
      </c>
      <c r="G30" s="25">
        <f>IF(AND(ISNUMBER($E30),N(G$2)&gt;=N($G$2),N(G$2)&lt;=N($E30)),G$2,"")</f>
        <v/>
      </c>
      <c r="H30" s="25">
        <f>IF(AND(ISNUMBER($E30),N(H$2)&gt;=N($G$2),N(H$2)&lt;=N($E30)),H$2,"")</f>
        <v/>
      </c>
      <c r="I30" s="25">
        <f>IF(AND(ISNUMBER($E30),N(I$2)&gt;=N($G$2),N(I$2)&lt;=N($E30)),I$2,"")</f>
        <v/>
      </c>
      <c r="J30" s="25">
        <f>IF(AND(ISNUMBER($E30),N(J$2)&gt;=N($G$2),N(J$2)&lt;=N($E30)),J$2,"")</f>
        <v/>
      </c>
      <c r="K30" s="25">
        <f>IF(AND(ISNUMBER($E30),N(K$2)&gt;=N($G$2),N(K$2)&lt;=N($E30)),K$2,"")</f>
        <v/>
      </c>
      <c r="L30" s="25">
        <f>IF(AND(ISNUMBER($E30),N(L$2)&gt;=N($G$2),N(L$2)&lt;=N($E30)),L$2,"")</f>
        <v/>
      </c>
      <c r="M30" s="25">
        <f>IF(AND(ISNUMBER($E30),N(M$2)&gt;=N($G$2),N(M$2)&lt;=N($E30)),M$2,"")</f>
        <v/>
      </c>
      <c r="N30" s="25">
        <f>IF(AND(ISNUMBER($E30),N(N$2)&gt;=N($G$2),N(N$2)&lt;=N($E30)),N$2,"")</f>
        <v/>
      </c>
      <c r="O30" s="25">
        <f>IF(AND(ISNUMBER($E30),N(O$2)&gt;=N($G$2),N(O$2)&lt;=N($E30)),O$2,"")</f>
        <v/>
      </c>
      <c r="P30" s="25">
        <f>IF(AND(ISNUMBER($E30),N(P$2)&gt;=N($G$2),N(P$2)&lt;=N($E30)),P$2,"")</f>
        <v/>
      </c>
      <c r="Q30" s="25">
        <f>IF(AND(ISNUMBER($E30),N(Q$2)&gt;=N($G$2),N(Q$2)&lt;=N($E30)),Q$2,"")</f>
        <v/>
      </c>
      <c r="R30" s="25">
        <f>IF(AND(ISNUMBER($E30),N(R$2)&gt;=N($G$2),N(R$2)&lt;=N($E30)),R$2,"")</f>
        <v/>
      </c>
      <c r="S30" s="25">
        <f>IF(AND(ISNUMBER($E30),N(S$2)&gt;=N($G$2),N(S$2)&lt;=N($E30)),S$2,"")</f>
        <v/>
      </c>
      <c r="T30" s="25">
        <f>IF(AND(ISNUMBER($E30),N(T$2)&gt;=N($G$2),N(T$2)&lt;=N($E30)),T$2,"")</f>
        <v/>
      </c>
      <c r="U30" s="25">
        <f>IF(AND(ISNUMBER($E30),N(U$2)&gt;=N($G$2),N(U$2)&lt;=N($E30)),U$2,"")</f>
        <v/>
      </c>
      <c r="V30" s="25">
        <f>IF(AND(ISNUMBER($E30),N(V$2)&gt;=N($G$2),N(V$2)&lt;=N($E30)),V$2,"")</f>
        <v/>
      </c>
      <c r="W30" s="25">
        <f>IF(AND(ISNUMBER($E30),N(W$2)&gt;=N($G$2),N(W$2)&lt;=N($E30)),W$2,"")</f>
        <v/>
      </c>
      <c r="X30" s="25">
        <f>IF(AND(ISNUMBER($E30),N(X$2)&gt;=N($G$2),N(X$2)&lt;=N($E30)),X$2,"")</f>
        <v/>
      </c>
      <c r="Y30" s="25">
        <f>IF(AND(ISNUMBER($E30),N(Y$2)&gt;=N($G$2),N(Y$2)&lt;=N($E30)),Y$2,"")</f>
        <v/>
      </c>
      <c r="Z30" s="25">
        <f>IF(AND(ISNUMBER($E30),N(Z$2)&gt;=N($G$2),N(Z$2)&lt;=N($E30)),Z$2,"")</f>
        <v/>
      </c>
      <c r="AA30" s="25">
        <f>IF(AND(ISNUMBER($E30),N(AA$2)&gt;=N($G$2),N(AA$2)&lt;=N($E30)),AA$2,"")</f>
        <v/>
      </c>
      <c r="AB30" s="25">
        <f>IF(AND(ISNUMBER($E30),N(AB$2)&gt;=N($G$2),N(AB$2)&lt;=N($E30)),AB$2,"")</f>
        <v/>
      </c>
      <c r="AC30" s="25">
        <f>IF(AND(ISNUMBER($E30),N(AC$2)&gt;=N($G$2),N(AC$2)&lt;=N($E30)),AC$2,"")</f>
        <v/>
      </c>
      <c r="AD30" s="25">
        <f>IF(AND(ISNUMBER($E30),N(AD$2)&gt;=N($G$2),N(AD$2)&lt;=N($E30)),AD$2,"")</f>
        <v/>
      </c>
      <c r="AE30" s="25">
        <f>IF(AND(ISNUMBER($E30),N(AE$2)&gt;=N($G$2),N(AE$2)&lt;=N($E30)),AE$2,"")</f>
        <v/>
      </c>
      <c r="AF30" s="25">
        <f>IF(AND(ISNUMBER($E30),N(AF$2)&gt;=N($G$2),N(AF$2)&lt;=N($E30)),AF$2,"")</f>
        <v/>
      </c>
      <c r="AG30" s="25">
        <f>IF(AND(ISNUMBER($E30),N(AG$2)&gt;=N($G$2),N(AG$2)&lt;=N($E30)),AG$2,"")</f>
        <v/>
      </c>
      <c r="AH30" s="25">
        <f>IF(AND(ISNUMBER($E30),N(AH$2)&gt;=N($G$2),N(AH$2)&lt;=N($E30)),AH$2,"")</f>
        <v/>
      </c>
      <c r="AI30" s="25">
        <f>IF(AND(ISNUMBER($E30),N(AI$2)&gt;=N($G$2),N(AI$2)&lt;=N($E30)),AI$2,"")</f>
        <v/>
      </c>
      <c r="AJ30" s="25">
        <f>IF(AND(ISNUMBER($E30),N(AJ$2)&gt;=N($G$2),N(AJ$2)&lt;=N($E30)),AJ$2,"")</f>
        <v/>
      </c>
      <c r="AK30" s="25">
        <f>IF(AND(ISNUMBER($E30),N(AK$2)&gt;=N($G$2),N(AK$2)&lt;=N($E30)),AK$2,"")</f>
        <v/>
      </c>
      <c r="AL30" s="25">
        <f>IF(AND(ISNUMBER($E30),N(AL$2)&gt;=N($G$2),N(AL$2)&lt;=N($E30)),AL$2,"")</f>
        <v/>
      </c>
      <c r="AM30" s="25">
        <f>IF(AND(ISNUMBER($E30),N(AM$2)&gt;=N($G$2),N(AM$2)&lt;=N($E30)),AM$2,"")</f>
        <v/>
      </c>
      <c r="AN30" s="25">
        <f>IF(AND(ISNUMBER($E30),N(AN$2)&gt;=N($G$2),N(AN$2)&lt;=N($E30)),AN$2,"")</f>
        <v/>
      </c>
      <c r="AO30" s="25">
        <f>IF(AND(ISNUMBER($E30),N(AO$2)&gt;=N($G$2),N(AO$2)&lt;=N($E30)),AO$2,"")</f>
        <v/>
      </c>
      <c r="AP30" s="25">
        <f>IF(AND(ISNUMBER($E30),N(AP$2)&gt;=N($G$2),N(AP$2)&lt;=N($E30)),AP$2,"")</f>
        <v/>
      </c>
      <c r="AQ30" s="25">
        <f>IF(AND(ISNUMBER($E30),N(AQ$2)&gt;=N($G$2),N(AQ$2)&lt;=N($E30)),AQ$2,"")</f>
        <v/>
      </c>
      <c r="AR30" s="25">
        <f>IF(AND(ISNUMBER($E30),N(AR$2)&gt;=N($G$2),N(AR$2)&lt;=N($E30)),AR$2,"")</f>
        <v/>
      </c>
      <c r="AS30" s="25">
        <f>IF(AND(ISNUMBER($E30),N(AS$2)&gt;=N($G$2),N(AS$2)&lt;=N($E30)),AS$2,"")</f>
        <v/>
      </c>
      <c r="AT30" s="25">
        <f>IF(AND(ISNUMBER($E30),N(AT$2)&gt;=N($G$2),N(AT$2)&lt;=N($E30)),AT$2,"")</f>
        <v/>
      </c>
      <c r="AU30" s="25">
        <f>IF(AND(ISNUMBER($E30),N(AU$2)&gt;=N($G$2),N(AU$2)&lt;=N($E30)),AU$2,"")</f>
        <v/>
      </c>
      <c r="AV30" s="25">
        <f>IF(AND(ISNUMBER($E30),N(AV$2)&gt;=N($G$2),N(AV$2)&lt;=N($E30)),AV$2,"")</f>
        <v/>
      </c>
      <c r="AW30" s="25">
        <f>IF(AND(ISNUMBER($E30),N(AW$2)&gt;=N($G$2),N(AW$2)&lt;=N($E30)),AW$2,"")</f>
        <v/>
      </c>
      <c r="AX30" s="25">
        <f>IF(AND(ISNUMBER($E30),N(AX$2)&gt;=N($G$2),N(AX$2)&lt;=N($E30)),AX$2,"")</f>
        <v/>
      </c>
      <c r="AY30" s="25">
        <f>IF(AND(ISNUMBER($E30),N(AY$2)&gt;=N($G$2),N(AY$2)&lt;=N($E30)),AY$2,"")</f>
        <v/>
      </c>
      <c r="AZ30" s="25">
        <f>IF(AND(ISNUMBER($E30),N(AZ$2)&gt;=N($G$2),N(AZ$2)&lt;=N($E30)),AZ$2,"")</f>
        <v/>
      </c>
      <c r="BA30" s="25">
        <f>IF(AND(ISNUMBER($E30),N(BA$2)&gt;=N($G$2),N(BA$2)&lt;=N($E30)),BA$2,"")</f>
        <v/>
      </c>
      <c r="BB30" s="25">
        <f>IF(AND(ISNUMBER($E30),N(BB$2)&gt;=N($G$2),N(BB$2)&lt;=N($E30)),BB$2,"")</f>
        <v/>
      </c>
      <c r="BC30" s="25">
        <f>IF(AND(ISNUMBER($E30),N(BC$2)&gt;=N($G$2),N(BC$2)&lt;=N($E30)),BC$2,"")</f>
        <v/>
      </c>
      <c r="BD30" s="25">
        <f>IF(AND(ISNUMBER($E30),N(BD$2)&gt;=N($G$2),N(BD$2)&lt;=N($E30)),BD$2,"")</f>
        <v/>
      </c>
      <c r="BE30" s="25">
        <f>IF(AND(ISNUMBER($E30),N(BE$2)&gt;=N($G$2),N(BE$2)&lt;=N($E30)),BE$2,"")</f>
        <v/>
      </c>
      <c r="BF30" s="25">
        <f>IF(AND(ISNUMBER($E30),N(BF$2)&gt;=N($G$2),N(BF$2)&lt;=N($E30)),BF$2,"")</f>
        <v/>
      </c>
      <c r="BG30" s="25">
        <f>IF(AND(ISNUMBER($E30),N(BG$2)&gt;=N($G$2),N(BG$2)&lt;=N($E30)),BG$2,"")</f>
        <v/>
      </c>
      <c r="BH30" s="25">
        <f>IF(AND(ISNUMBER($E30),N(BH$2)&gt;=N($G$2),N(BH$2)&lt;=N($E30)),BH$2,"")</f>
        <v/>
      </c>
      <c r="BI30" s="25">
        <f>IF(AND(ISNUMBER($E30),N(BI$2)&gt;=N($G$2),N(BI$2)&lt;=N($E30)),BI$2,"")</f>
        <v/>
      </c>
      <c r="BJ30" s="25">
        <f>IF(AND(ISNUMBER($E30),N(BJ$2)&gt;=N($G$2),N(BJ$2)&lt;=N($E30)),BJ$2,"")</f>
        <v/>
      </c>
      <c r="BK30" s="25">
        <f>IF(AND(ISNUMBER($E30),N(BK$2)&gt;=N($G$2),N(BK$2)&lt;=N($E30)),BK$2,"")</f>
        <v/>
      </c>
      <c r="BL30" s="25">
        <f>IF(AND(ISNUMBER($E30),N(BL$2)&gt;=N($G$2),N(BL$2)&lt;=N($E30)),BL$2,"")</f>
        <v/>
      </c>
      <c r="BM30" s="25">
        <f>IF(AND(ISNUMBER($E30),N(BM$2)&gt;=N($G$2),N(BM$2)&lt;=N($E30)),BM$2,"")</f>
        <v/>
      </c>
      <c r="BN30" s="25">
        <f>IF(AND(ISNUMBER($E30),N(BN$2)&gt;=N($G$2),N(BN$2)&lt;=N($E30)),BN$2,"")</f>
        <v/>
      </c>
      <c r="BO30" s="25">
        <f>IF(AND(ISNUMBER($E30),N(BO$2)&gt;=N($G$2),N(BO$2)&lt;=N($E30)),BO$2,"")</f>
        <v/>
      </c>
    </row>
    <row r="31" ht="20" customHeight="1">
      <c r="A31" s="21" t="inlineStr">
        <is>
          <t>预估</t>
        </is>
      </c>
      <c r="B31" s="21" t="inlineStr">
        <is>
          <t>第一期</t>
        </is>
      </c>
      <c r="C31" s="22" t="inlineStr">
        <is>
          <t>PAB090·排针机安装调试</t>
        </is>
      </c>
      <c r="D31" s="23">
        <f>'时间节点计划表'!E16</f>
        <v/>
      </c>
      <c r="E31" s="23">
        <f>IF(COUNT('时间节点计划表'!F16),'时间节点计划表'!F16,"")</f>
        <v/>
      </c>
      <c r="F31" s="24" t="inlineStr"/>
      <c r="G31" s="25">
        <f>IF(AND(ISNUMBER($D31),N(G$2)&gt;=N($G$2),N(G$2)&lt;=N($D31)),G$2,"")</f>
        <v/>
      </c>
      <c r="H31" s="25">
        <f>IF(AND(ISNUMBER($D31),N(H$2)&gt;=N($G$2),N(H$2)&lt;=N($D31)),H$2,"")</f>
        <v/>
      </c>
      <c r="I31" s="25">
        <f>IF(AND(ISNUMBER($D31),N(I$2)&gt;=N($G$2),N(I$2)&lt;=N($D31)),I$2,"")</f>
        <v/>
      </c>
      <c r="J31" s="25">
        <f>IF(AND(ISNUMBER($D31),N(J$2)&gt;=N($G$2),N(J$2)&lt;=N($D31)),J$2,"")</f>
        <v/>
      </c>
      <c r="K31" s="25">
        <f>IF(AND(ISNUMBER($D31),N(K$2)&gt;=N($G$2),N(K$2)&lt;=N($D31)),K$2,"")</f>
        <v/>
      </c>
      <c r="L31" s="25">
        <f>IF(AND(ISNUMBER($D31),N(L$2)&gt;=N($G$2),N(L$2)&lt;=N($D31)),L$2,"")</f>
        <v/>
      </c>
      <c r="M31" s="25">
        <f>IF(AND(ISNUMBER($D31),N(M$2)&gt;=N($G$2),N(M$2)&lt;=N($D31)),M$2,"")</f>
        <v/>
      </c>
      <c r="N31" s="25">
        <f>IF(AND(ISNUMBER($D31),N(N$2)&gt;=N($G$2),N(N$2)&lt;=N($D31)),N$2,"")</f>
        <v/>
      </c>
      <c r="O31" s="25">
        <f>IF(AND(ISNUMBER($D31),N(O$2)&gt;=N($G$2),N(O$2)&lt;=N($D31)),O$2,"")</f>
        <v/>
      </c>
      <c r="P31" s="25">
        <f>IF(AND(ISNUMBER($D31),N(P$2)&gt;=N($G$2),N(P$2)&lt;=N($D31)),P$2,"")</f>
        <v/>
      </c>
      <c r="Q31" s="25">
        <f>IF(AND(ISNUMBER($D31),N(Q$2)&gt;=N($G$2),N(Q$2)&lt;=N($D31)),Q$2,"")</f>
        <v/>
      </c>
      <c r="R31" s="25">
        <f>IF(AND(ISNUMBER($D31),N(R$2)&gt;=N($G$2),N(R$2)&lt;=N($D31)),R$2,"")</f>
        <v/>
      </c>
      <c r="S31" s="25">
        <f>IF(AND(ISNUMBER($D31),N(S$2)&gt;=N($G$2),N(S$2)&lt;=N($D31)),S$2,"")</f>
        <v/>
      </c>
      <c r="T31" s="25">
        <f>IF(AND(ISNUMBER($D31),N(T$2)&gt;=N($G$2),N(T$2)&lt;=N($D31)),T$2,"")</f>
        <v/>
      </c>
      <c r="U31" s="25">
        <f>IF(AND(ISNUMBER($D31),N(U$2)&gt;=N($G$2),N(U$2)&lt;=N($D31)),U$2,"")</f>
        <v/>
      </c>
      <c r="V31" s="25">
        <f>IF(AND(ISNUMBER($D31),N(V$2)&gt;=N($G$2),N(V$2)&lt;=N($D31)),V$2,"")</f>
        <v/>
      </c>
      <c r="W31" s="25">
        <f>IF(AND(ISNUMBER($D31),N(W$2)&gt;=N($G$2),N(W$2)&lt;=N($D31)),W$2,"")</f>
        <v/>
      </c>
      <c r="X31" s="25">
        <f>IF(AND(ISNUMBER($D31),N(X$2)&gt;=N($G$2),N(X$2)&lt;=N($D31)),X$2,"")</f>
        <v/>
      </c>
      <c r="Y31" s="25">
        <f>IF(AND(ISNUMBER($D31),N(Y$2)&gt;=N($G$2),N(Y$2)&lt;=N($D31)),Y$2,"")</f>
        <v/>
      </c>
      <c r="Z31" s="25">
        <f>IF(AND(ISNUMBER($D31),N(Z$2)&gt;=N($G$2),N(Z$2)&lt;=N($D31)),Z$2,"")</f>
        <v/>
      </c>
      <c r="AA31" s="25">
        <f>IF(AND(ISNUMBER($D31),N(AA$2)&gt;=N($G$2),N(AA$2)&lt;=N($D31)),AA$2,"")</f>
        <v/>
      </c>
      <c r="AB31" s="25">
        <f>IF(AND(ISNUMBER($D31),N(AB$2)&gt;=N($G$2),N(AB$2)&lt;=N($D31)),AB$2,"")</f>
        <v/>
      </c>
      <c r="AC31" s="25">
        <f>IF(AND(ISNUMBER($D31),N(AC$2)&gt;=N($G$2),N(AC$2)&lt;=N($D31)),AC$2,"")</f>
        <v/>
      </c>
      <c r="AD31" s="25">
        <f>IF(AND(ISNUMBER($D31),N(AD$2)&gt;=N($G$2),N(AD$2)&lt;=N($D31)),AD$2,"")</f>
        <v/>
      </c>
      <c r="AE31" s="25">
        <f>IF(AND(ISNUMBER($D31),N(AE$2)&gt;=N($G$2),N(AE$2)&lt;=N($D31)),AE$2,"")</f>
        <v/>
      </c>
      <c r="AF31" s="25">
        <f>IF(AND(ISNUMBER($D31),N(AF$2)&gt;=N($G$2),N(AF$2)&lt;=N($D31)),AF$2,"")</f>
        <v/>
      </c>
      <c r="AG31" s="25">
        <f>IF(AND(ISNUMBER($D31),N(AG$2)&gt;=N($G$2),N(AG$2)&lt;=N($D31)),AG$2,"")</f>
        <v/>
      </c>
      <c r="AH31" s="25">
        <f>IF(AND(ISNUMBER($D31),N(AH$2)&gt;=N($G$2),N(AH$2)&lt;=N($D31)),AH$2,"")</f>
        <v/>
      </c>
      <c r="AI31" s="25">
        <f>IF(AND(ISNUMBER($D31),N(AI$2)&gt;=N($G$2),N(AI$2)&lt;=N($D31)),AI$2,"")</f>
        <v/>
      </c>
      <c r="AJ31" s="25">
        <f>IF(AND(ISNUMBER($D31),N(AJ$2)&gt;=N($G$2),N(AJ$2)&lt;=N($D31)),AJ$2,"")</f>
        <v/>
      </c>
      <c r="AK31" s="25">
        <f>IF(AND(ISNUMBER($D31),N(AK$2)&gt;=N($G$2),N(AK$2)&lt;=N($D31)),AK$2,"")</f>
        <v/>
      </c>
      <c r="AL31" s="25">
        <f>IF(AND(ISNUMBER($D31),N(AL$2)&gt;=N($G$2),N(AL$2)&lt;=N($D31)),AL$2,"")</f>
        <v/>
      </c>
      <c r="AM31" s="25">
        <f>IF(AND(ISNUMBER($D31),N(AM$2)&gt;=N($G$2),N(AM$2)&lt;=N($D31)),AM$2,"")</f>
        <v/>
      </c>
      <c r="AN31" s="25">
        <f>IF(AND(ISNUMBER($D31),N(AN$2)&gt;=N($G$2),N(AN$2)&lt;=N($D31)),AN$2,"")</f>
        <v/>
      </c>
      <c r="AO31" s="25">
        <f>IF(AND(ISNUMBER($D31),N(AO$2)&gt;=N($G$2),N(AO$2)&lt;=N($D31)),AO$2,"")</f>
        <v/>
      </c>
      <c r="AP31" s="25">
        <f>IF(AND(ISNUMBER($D31),N(AP$2)&gt;=N($G$2),N(AP$2)&lt;=N($D31)),AP$2,"")</f>
        <v/>
      </c>
      <c r="AQ31" s="25">
        <f>IF(AND(ISNUMBER($D31),N(AQ$2)&gt;=N($G$2),N(AQ$2)&lt;=N($D31)),AQ$2,"")</f>
        <v/>
      </c>
      <c r="AR31" s="25">
        <f>IF(AND(ISNUMBER($D31),N(AR$2)&gt;=N($G$2),N(AR$2)&lt;=N($D31)),AR$2,"")</f>
        <v/>
      </c>
      <c r="AS31" s="25">
        <f>IF(AND(ISNUMBER($D31),N(AS$2)&gt;=N($G$2),N(AS$2)&lt;=N($D31)),AS$2,"")</f>
        <v/>
      </c>
      <c r="AT31" s="25">
        <f>IF(AND(ISNUMBER($D31),N(AT$2)&gt;=N($G$2),N(AT$2)&lt;=N($D31)),AT$2,"")</f>
        <v/>
      </c>
      <c r="AU31" s="25">
        <f>IF(AND(ISNUMBER($D31),N(AU$2)&gt;=N($G$2),N(AU$2)&lt;=N($D31)),AU$2,"")</f>
        <v/>
      </c>
      <c r="AV31" s="25">
        <f>IF(AND(ISNUMBER($D31),N(AV$2)&gt;=N($G$2),N(AV$2)&lt;=N($D31)),AV$2,"")</f>
        <v/>
      </c>
      <c r="AW31" s="25">
        <f>IF(AND(ISNUMBER($D31),N(AW$2)&gt;=N($G$2),N(AW$2)&lt;=N($D31)),AW$2,"")</f>
        <v/>
      </c>
      <c r="AX31" s="25">
        <f>IF(AND(ISNUMBER($D31),N(AX$2)&gt;=N($G$2),N(AX$2)&lt;=N($D31)),AX$2,"")</f>
        <v/>
      </c>
      <c r="AY31" s="25">
        <f>IF(AND(ISNUMBER($D31),N(AY$2)&gt;=N($G$2),N(AY$2)&lt;=N($D31)),AY$2,"")</f>
        <v/>
      </c>
      <c r="AZ31" s="25">
        <f>IF(AND(ISNUMBER($D31),N(AZ$2)&gt;=N($G$2),N(AZ$2)&lt;=N($D31)),AZ$2,"")</f>
        <v/>
      </c>
      <c r="BA31" s="25">
        <f>IF(AND(ISNUMBER($D31),N(BA$2)&gt;=N($G$2),N(BA$2)&lt;=N($D31)),BA$2,"")</f>
        <v/>
      </c>
      <c r="BB31" s="25">
        <f>IF(AND(ISNUMBER($D31),N(BB$2)&gt;=N($G$2),N(BB$2)&lt;=N($D31)),BB$2,"")</f>
        <v/>
      </c>
      <c r="BC31" s="25">
        <f>IF(AND(ISNUMBER($D31),N(BC$2)&gt;=N($G$2),N(BC$2)&lt;=N($D31)),BC$2,"")</f>
        <v/>
      </c>
      <c r="BD31" s="25">
        <f>IF(AND(ISNUMBER($D31),N(BD$2)&gt;=N($G$2),N(BD$2)&lt;=N($D31)),BD$2,"")</f>
        <v/>
      </c>
      <c r="BE31" s="25">
        <f>IF(AND(ISNUMBER($D31),N(BE$2)&gt;=N($G$2),N(BE$2)&lt;=N($D31)),BE$2,"")</f>
        <v/>
      </c>
      <c r="BF31" s="25">
        <f>IF(AND(ISNUMBER($D31),N(BF$2)&gt;=N($G$2),N(BF$2)&lt;=N($D31)),BF$2,"")</f>
        <v/>
      </c>
      <c r="BG31" s="25">
        <f>IF(AND(ISNUMBER($D31),N(BG$2)&gt;=N($G$2),N(BG$2)&lt;=N($D31)),BG$2,"")</f>
        <v/>
      </c>
      <c r="BH31" s="25">
        <f>IF(AND(ISNUMBER($D31),N(BH$2)&gt;=N($G$2),N(BH$2)&lt;=N($D31)),BH$2,"")</f>
        <v/>
      </c>
      <c r="BI31" s="25">
        <f>IF(AND(ISNUMBER($D31),N(BI$2)&gt;=N($G$2),N(BI$2)&lt;=N($D31)),BI$2,"")</f>
        <v/>
      </c>
      <c r="BJ31" s="25">
        <f>IF(AND(ISNUMBER($D31),N(BJ$2)&gt;=N($G$2),N(BJ$2)&lt;=N($D31)),BJ$2,"")</f>
        <v/>
      </c>
      <c r="BK31" s="25">
        <f>IF(AND(ISNUMBER($D31),N(BK$2)&gt;=N($G$2),N(BK$2)&lt;=N($D31)),BK$2,"")</f>
        <v/>
      </c>
      <c r="BL31" s="25">
        <f>IF(AND(ISNUMBER($D31),N(BL$2)&gt;=N($G$2),N(BL$2)&lt;=N($D31)),BL$2,"")</f>
        <v/>
      </c>
      <c r="BM31" s="25">
        <f>IF(AND(ISNUMBER($D31),N(BM$2)&gt;=N($G$2),N(BM$2)&lt;=N($D31)),BM$2,"")</f>
        <v/>
      </c>
      <c r="BN31" s="25">
        <f>IF(AND(ISNUMBER($D31),N(BN$2)&gt;=N($G$2),N(BN$2)&lt;=N($D31)),BN$2,"")</f>
        <v/>
      </c>
      <c r="BO31" s="25">
        <f>IF(AND(ISNUMBER($D31),N(BO$2)&gt;=N($G$2),N(BO$2)&lt;=N($D31)),BO$2,"")</f>
        <v/>
      </c>
    </row>
    <row r="32" ht="20" customHeight="1">
      <c r="A32" s="26" t="inlineStr">
        <is>
          <t>实际</t>
        </is>
      </c>
      <c r="B32" s="26" t="inlineStr">
        <is>
          <t>第一期</t>
        </is>
      </c>
      <c r="C32" s="27" t="inlineStr">
        <is>
          <t>PAB090·排针机安装调试</t>
        </is>
      </c>
      <c r="D32" s="28">
        <f>'时间节点计划表'!E16</f>
        <v/>
      </c>
      <c r="E32" s="28">
        <f>IF(COUNT('时间节点计划表'!F16),'时间节点计划表'!F16,"")</f>
        <v/>
      </c>
      <c r="F32" s="29">
        <f>IF(OR(D32="",E32=""),"待填",E32-D32)</f>
        <v/>
      </c>
      <c r="G32" s="25">
        <f>IF(AND(ISNUMBER($E32),N(G$2)&gt;=N($G$2),N(G$2)&lt;=N($E32)),G$2,"")</f>
        <v/>
      </c>
      <c r="H32" s="25">
        <f>IF(AND(ISNUMBER($E32),N(H$2)&gt;=N($G$2),N(H$2)&lt;=N($E32)),H$2,"")</f>
        <v/>
      </c>
      <c r="I32" s="25">
        <f>IF(AND(ISNUMBER($E32),N(I$2)&gt;=N($G$2),N(I$2)&lt;=N($E32)),I$2,"")</f>
        <v/>
      </c>
      <c r="J32" s="25">
        <f>IF(AND(ISNUMBER($E32),N(J$2)&gt;=N($G$2),N(J$2)&lt;=N($E32)),J$2,"")</f>
        <v/>
      </c>
      <c r="K32" s="25">
        <f>IF(AND(ISNUMBER($E32),N(K$2)&gt;=N($G$2),N(K$2)&lt;=N($E32)),K$2,"")</f>
        <v/>
      </c>
      <c r="L32" s="25">
        <f>IF(AND(ISNUMBER($E32),N(L$2)&gt;=N($G$2),N(L$2)&lt;=N($E32)),L$2,"")</f>
        <v/>
      </c>
      <c r="M32" s="25">
        <f>IF(AND(ISNUMBER($E32),N(M$2)&gt;=N($G$2),N(M$2)&lt;=N($E32)),M$2,"")</f>
        <v/>
      </c>
      <c r="N32" s="25">
        <f>IF(AND(ISNUMBER($E32),N(N$2)&gt;=N($G$2),N(N$2)&lt;=N($E32)),N$2,"")</f>
        <v/>
      </c>
      <c r="O32" s="25">
        <f>IF(AND(ISNUMBER($E32),N(O$2)&gt;=N($G$2),N(O$2)&lt;=N($E32)),O$2,"")</f>
        <v/>
      </c>
      <c r="P32" s="25">
        <f>IF(AND(ISNUMBER($E32),N(P$2)&gt;=N($G$2),N(P$2)&lt;=N($E32)),P$2,"")</f>
        <v/>
      </c>
      <c r="Q32" s="25">
        <f>IF(AND(ISNUMBER($E32),N(Q$2)&gt;=N($G$2),N(Q$2)&lt;=N($E32)),Q$2,"")</f>
        <v/>
      </c>
      <c r="R32" s="25">
        <f>IF(AND(ISNUMBER($E32),N(R$2)&gt;=N($G$2),N(R$2)&lt;=N($E32)),R$2,"")</f>
        <v/>
      </c>
      <c r="S32" s="25">
        <f>IF(AND(ISNUMBER($E32),N(S$2)&gt;=N($G$2),N(S$2)&lt;=N($E32)),S$2,"")</f>
        <v/>
      </c>
      <c r="T32" s="25">
        <f>IF(AND(ISNUMBER($E32),N(T$2)&gt;=N($G$2),N(T$2)&lt;=N($E32)),T$2,"")</f>
        <v/>
      </c>
      <c r="U32" s="25">
        <f>IF(AND(ISNUMBER($E32),N(U$2)&gt;=N($G$2),N(U$2)&lt;=N($E32)),U$2,"")</f>
        <v/>
      </c>
      <c r="V32" s="25">
        <f>IF(AND(ISNUMBER($E32),N(V$2)&gt;=N($G$2),N(V$2)&lt;=N($E32)),V$2,"")</f>
        <v/>
      </c>
      <c r="W32" s="25">
        <f>IF(AND(ISNUMBER($E32),N(W$2)&gt;=N($G$2),N(W$2)&lt;=N($E32)),W$2,"")</f>
        <v/>
      </c>
      <c r="X32" s="25">
        <f>IF(AND(ISNUMBER($E32),N(X$2)&gt;=N($G$2),N(X$2)&lt;=N($E32)),X$2,"")</f>
        <v/>
      </c>
      <c r="Y32" s="25">
        <f>IF(AND(ISNUMBER($E32),N(Y$2)&gt;=N($G$2),N(Y$2)&lt;=N($E32)),Y$2,"")</f>
        <v/>
      </c>
      <c r="Z32" s="25">
        <f>IF(AND(ISNUMBER($E32),N(Z$2)&gt;=N($G$2),N(Z$2)&lt;=N($E32)),Z$2,"")</f>
        <v/>
      </c>
      <c r="AA32" s="25">
        <f>IF(AND(ISNUMBER($E32),N(AA$2)&gt;=N($G$2),N(AA$2)&lt;=N($E32)),AA$2,"")</f>
        <v/>
      </c>
      <c r="AB32" s="25">
        <f>IF(AND(ISNUMBER($E32),N(AB$2)&gt;=N($G$2),N(AB$2)&lt;=N($E32)),AB$2,"")</f>
        <v/>
      </c>
      <c r="AC32" s="25">
        <f>IF(AND(ISNUMBER($E32),N(AC$2)&gt;=N($G$2),N(AC$2)&lt;=N($E32)),AC$2,"")</f>
        <v/>
      </c>
      <c r="AD32" s="25">
        <f>IF(AND(ISNUMBER($E32),N(AD$2)&gt;=N($G$2),N(AD$2)&lt;=N($E32)),AD$2,"")</f>
        <v/>
      </c>
      <c r="AE32" s="25">
        <f>IF(AND(ISNUMBER($E32),N(AE$2)&gt;=N($G$2),N(AE$2)&lt;=N($E32)),AE$2,"")</f>
        <v/>
      </c>
      <c r="AF32" s="25">
        <f>IF(AND(ISNUMBER($E32),N(AF$2)&gt;=N($G$2),N(AF$2)&lt;=N($E32)),AF$2,"")</f>
        <v/>
      </c>
      <c r="AG32" s="25">
        <f>IF(AND(ISNUMBER($E32),N(AG$2)&gt;=N($G$2),N(AG$2)&lt;=N($E32)),AG$2,"")</f>
        <v/>
      </c>
      <c r="AH32" s="25">
        <f>IF(AND(ISNUMBER($E32),N(AH$2)&gt;=N($G$2),N(AH$2)&lt;=N($E32)),AH$2,"")</f>
        <v/>
      </c>
      <c r="AI32" s="25">
        <f>IF(AND(ISNUMBER($E32),N(AI$2)&gt;=N($G$2),N(AI$2)&lt;=N($E32)),AI$2,"")</f>
        <v/>
      </c>
      <c r="AJ32" s="25">
        <f>IF(AND(ISNUMBER($E32),N(AJ$2)&gt;=N($G$2),N(AJ$2)&lt;=N($E32)),AJ$2,"")</f>
        <v/>
      </c>
      <c r="AK32" s="25">
        <f>IF(AND(ISNUMBER($E32),N(AK$2)&gt;=N($G$2),N(AK$2)&lt;=N($E32)),AK$2,"")</f>
        <v/>
      </c>
      <c r="AL32" s="25">
        <f>IF(AND(ISNUMBER($E32),N(AL$2)&gt;=N($G$2),N(AL$2)&lt;=N($E32)),AL$2,"")</f>
        <v/>
      </c>
      <c r="AM32" s="25">
        <f>IF(AND(ISNUMBER($E32),N(AM$2)&gt;=N($G$2),N(AM$2)&lt;=N($E32)),AM$2,"")</f>
        <v/>
      </c>
      <c r="AN32" s="25">
        <f>IF(AND(ISNUMBER($E32),N(AN$2)&gt;=N($G$2),N(AN$2)&lt;=N($E32)),AN$2,"")</f>
        <v/>
      </c>
      <c r="AO32" s="25">
        <f>IF(AND(ISNUMBER($E32),N(AO$2)&gt;=N($G$2),N(AO$2)&lt;=N($E32)),AO$2,"")</f>
        <v/>
      </c>
      <c r="AP32" s="25">
        <f>IF(AND(ISNUMBER($E32),N(AP$2)&gt;=N($G$2),N(AP$2)&lt;=N($E32)),AP$2,"")</f>
        <v/>
      </c>
      <c r="AQ32" s="25">
        <f>IF(AND(ISNUMBER($E32),N(AQ$2)&gt;=N($G$2),N(AQ$2)&lt;=N($E32)),AQ$2,"")</f>
        <v/>
      </c>
      <c r="AR32" s="25">
        <f>IF(AND(ISNUMBER($E32),N(AR$2)&gt;=N($G$2),N(AR$2)&lt;=N($E32)),AR$2,"")</f>
        <v/>
      </c>
      <c r="AS32" s="25">
        <f>IF(AND(ISNUMBER($E32),N(AS$2)&gt;=N($G$2),N(AS$2)&lt;=N($E32)),AS$2,"")</f>
        <v/>
      </c>
      <c r="AT32" s="25">
        <f>IF(AND(ISNUMBER($E32),N(AT$2)&gt;=N($G$2),N(AT$2)&lt;=N($E32)),AT$2,"")</f>
        <v/>
      </c>
      <c r="AU32" s="25">
        <f>IF(AND(ISNUMBER($E32),N(AU$2)&gt;=N($G$2),N(AU$2)&lt;=N($E32)),AU$2,"")</f>
        <v/>
      </c>
      <c r="AV32" s="25">
        <f>IF(AND(ISNUMBER($E32),N(AV$2)&gt;=N($G$2),N(AV$2)&lt;=N($E32)),AV$2,"")</f>
        <v/>
      </c>
      <c r="AW32" s="25">
        <f>IF(AND(ISNUMBER($E32),N(AW$2)&gt;=N($G$2),N(AW$2)&lt;=N($E32)),AW$2,"")</f>
        <v/>
      </c>
      <c r="AX32" s="25">
        <f>IF(AND(ISNUMBER($E32),N(AX$2)&gt;=N($G$2),N(AX$2)&lt;=N($E32)),AX$2,"")</f>
        <v/>
      </c>
      <c r="AY32" s="25">
        <f>IF(AND(ISNUMBER($E32),N(AY$2)&gt;=N($G$2),N(AY$2)&lt;=N($E32)),AY$2,"")</f>
        <v/>
      </c>
      <c r="AZ32" s="25">
        <f>IF(AND(ISNUMBER($E32),N(AZ$2)&gt;=N($G$2),N(AZ$2)&lt;=N($E32)),AZ$2,"")</f>
        <v/>
      </c>
      <c r="BA32" s="25">
        <f>IF(AND(ISNUMBER($E32),N(BA$2)&gt;=N($G$2),N(BA$2)&lt;=N($E32)),BA$2,"")</f>
        <v/>
      </c>
      <c r="BB32" s="25">
        <f>IF(AND(ISNUMBER($E32),N(BB$2)&gt;=N($G$2),N(BB$2)&lt;=N($E32)),BB$2,"")</f>
        <v/>
      </c>
      <c r="BC32" s="25">
        <f>IF(AND(ISNUMBER($E32),N(BC$2)&gt;=N($G$2),N(BC$2)&lt;=N($E32)),BC$2,"")</f>
        <v/>
      </c>
      <c r="BD32" s="25">
        <f>IF(AND(ISNUMBER($E32),N(BD$2)&gt;=N($G$2),N(BD$2)&lt;=N($E32)),BD$2,"")</f>
        <v/>
      </c>
      <c r="BE32" s="25">
        <f>IF(AND(ISNUMBER($E32),N(BE$2)&gt;=N($G$2),N(BE$2)&lt;=N($E32)),BE$2,"")</f>
        <v/>
      </c>
      <c r="BF32" s="25">
        <f>IF(AND(ISNUMBER($E32),N(BF$2)&gt;=N($G$2),N(BF$2)&lt;=N($E32)),BF$2,"")</f>
        <v/>
      </c>
      <c r="BG32" s="25">
        <f>IF(AND(ISNUMBER($E32),N(BG$2)&gt;=N($G$2),N(BG$2)&lt;=N($E32)),BG$2,"")</f>
        <v/>
      </c>
      <c r="BH32" s="25">
        <f>IF(AND(ISNUMBER($E32),N(BH$2)&gt;=N($G$2),N(BH$2)&lt;=N($E32)),BH$2,"")</f>
        <v/>
      </c>
      <c r="BI32" s="25">
        <f>IF(AND(ISNUMBER($E32),N(BI$2)&gt;=N($G$2),N(BI$2)&lt;=N($E32)),BI$2,"")</f>
        <v/>
      </c>
      <c r="BJ32" s="25">
        <f>IF(AND(ISNUMBER($E32),N(BJ$2)&gt;=N($G$2),N(BJ$2)&lt;=N($E32)),BJ$2,"")</f>
        <v/>
      </c>
      <c r="BK32" s="25">
        <f>IF(AND(ISNUMBER($E32),N(BK$2)&gt;=N($G$2),N(BK$2)&lt;=N($E32)),BK$2,"")</f>
        <v/>
      </c>
      <c r="BL32" s="25">
        <f>IF(AND(ISNUMBER($E32),N(BL$2)&gt;=N($G$2),N(BL$2)&lt;=N($E32)),BL$2,"")</f>
        <v/>
      </c>
      <c r="BM32" s="25">
        <f>IF(AND(ISNUMBER($E32),N(BM$2)&gt;=N($G$2),N(BM$2)&lt;=N($E32)),BM$2,"")</f>
        <v/>
      </c>
      <c r="BN32" s="25">
        <f>IF(AND(ISNUMBER($E32),N(BN$2)&gt;=N($G$2),N(BN$2)&lt;=N($E32)),BN$2,"")</f>
        <v/>
      </c>
      <c r="BO32" s="25">
        <f>IF(AND(ISNUMBER($E32),N(BO$2)&gt;=N($G$2),N(BO$2)&lt;=N($E32)),BO$2,"")</f>
        <v/>
      </c>
    </row>
    <row r="33" ht="20" customHeight="1">
      <c r="A33" s="21" t="inlineStr">
        <is>
          <t>预估</t>
        </is>
      </c>
      <c r="B33" s="21" t="inlineStr">
        <is>
          <t>第一期</t>
        </is>
      </c>
      <c r="C33" s="22" t="inlineStr">
        <is>
          <t>PAB090·单级样机</t>
        </is>
      </c>
      <c r="D33" s="23">
        <f>'时间节点计划表'!E17</f>
        <v/>
      </c>
      <c r="E33" s="23">
        <f>IF(COUNT('时间节点计划表'!F17),'时间节点计划表'!F17,"")</f>
        <v/>
      </c>
      <c r="F33" s="24" t="inlineStr"/>
      <c r="G33" s="25">
        <f>IF(AND(ISNUMBER($D33),N(G$2)&gt;=N($G$2),N(G$2)&lt;=N($D33)),G$2,"")</f>
        <v/>
      </c>
      <c r="H33" s="25">
        <f>IF(AND(ISNUMBER($D33),N(H$2)&gt;=N($G$2),N(H$2)&lt;=N($D33)),H$2,"")</f>
        <v/>
      </c>
      <c r="I33" s="25">
        <f>IF(AND(ISNUMBER($D33),N(I$2)&gt;=N($G$2),N(I$2)&lt;=N($D33)),I$2,"")</f>
        <v/>
      </c>
      <c r="J33" s="25">
        <f>IF(AND(ISNUMBER($D33),N(J$2)&gt;=N($G$2),N(J$2)&lt;=N($D33)),J$2,"")</f>
        <v/>
      </c>
      <c r="K33" s="25">
        <f>IF(AND(ISNUMBER($D33),N(K$2)&gt;=N($G$2),N(K$2)&lt;=N($D33)),K$2,"")</f>
        <v/>
      </c>
      <c r="L33" s="25">
        <f>IF(AND(ISNUMBER($D33),N(L$2)&gt;=N($G$2),N(L$2)&lt;=N($D33)),L$2,"")</f>
        <v/>
      </c>
      <c r="M33" s="25">
        <f>IF(AND(ISNUMBER($D33),N(M$2)&gt;=N($G$2),N(M$2)&lt;=N($D33)),M$2,"")</f>
        <v/>
      </c>
      <c r="N33" s="25">
        <f>IF(AND(ISNUMBER($D33),N(N$2)&gt;=N($G$2),N(N$2)&lt;=N($D33)),N$2,"")</f>
        <v/>
      </c>
      <c r="O33" s="25">
        <f>IF(AND(ISNUMBER($D33),N(O$2)&gt;=N($G$2),N(O$2)&lt;=N($D33)),O$2,"")</f>
        <v/>
      </c>
      <c r="P33" s="25">
        <f>IF(AND(ISNUMBER($D33),N(P$2)&gt;=N($G$2),N(P$2)&lt;=N($D33)),P$2,"")</f>
        <v/>
      </c>
      <c r="Q33" s="25">
        <f>IF(AND(ISNUMBER($D33),N(Q$2)&gt;=N($G$2),N(Q$2)&lt;=N($D33)),Q$2,"")</f>
        <v/>
      </c>
      <c r="R33" s="25">
        <f>IF(AND(ISNUMBER($D33),N(R$2)&gt;=N($G$2),N(R$2)&lt;=N($D33)),R$2,"")</f>
        <v/>
      </c>
      <c r="S33" s="25">
        <f>IF(AND(ISNUMBER($D33),N(S$2)&gt;=N($G$2),N(S$2)&lt;=N($D33)),S$2,"")</f>
        <v/>
      </c>
      <c r="T33" s="25">
        <f>IF(AND(ISNUMBER($D33),N(T$2)&gt;=N($G$2),N(T$2)&lt;=N($D33)),T$2,"")</f>
        <v/>
      </c>
      <c r="U33" s="25">
        <f>IF(AND(ISNUMBER($D33),N(U$2)&gt;=N($G$2),N(U$2)&lt;=N($D33)),U$2,"")</f>
        <v/>
      </c>
      <c r="V33" s="25">
        <f>IF(AND(ISNUMBER($D33),N(V$2)&gt;=N($G$2),N(V$2)&lt;=N($D33)),V$2,"")</f>
        <v/>
      </c>
      <c r="W33" s="25">
        <f>IF(AND(ISNUMBER($D33),N(W$2)&gt;=N($G$2),N(W$2)&lt;=N($D33)),W$2,"")</f>
        <v/>
      </c>
      <c r="X33" s="25">
        <f>IF(AND(ISNUMBER($D33),N(X$2)&gt;=N($G$2),N(X$2)&lt;=N($D33)),X$2,"")</f>
        <v/>
      </c>
      <c r="Y33" s="25">
        <f>IF(AND(ISNUMBER($D33),N(Y$2)&gt;=N($G$2),N(Y$2)&lt;=N($D33)),Y$2,"")</f>
        <v/>
      </c>
      <c r="Z33" s="25">
        <f>IF(AND(ISNUMBER($D33),N(Z$2)&gt;=N($G$2),N(Z$2)&lt;=N($D33)),Z$2,"")</f>
        <v/>
      </c>
      <c r="AA33" s="25">
        <f>IF(AND(ISNUMBER($D33),N(AA$2)&gt;=N($G$2),N(AA$2)&lt;=N($D33)),AA$2,"")</f>
        <v/>
      </c>
      <c r="AB33" s="25">
        <f>IF(AND(ISNUMBER($D33),N(AB$2)&gt;=N($G$2),N(AB$2)&lt;=N($D33)),AB$2,"")</f>
        <v/>
      </c>
      <c r="AC33" s="25">
        <f>IF(AND(ISNUMBER($D33),N(AC$2)&gt;=N($G$2),N(AC$2)&lt;=N($D33)),AC$2,"")</f>
        <v/>
      </c>
      <c r="AD33" s="25">
        <f>IF(AND(ISNUMBER($D33),N(AD$2)&gt;=N($G$2),N(AD$2)&lt;=N($D33)),AD$2,"")</f>
        <v/>
      </c>
      <c r="AE33" s="25">
        <f>IF(AND(ISNUMBER($D33),N(AE$2)&gt;=N($G$2),N(AE$2)&lt;=N($D33)),AE$2,"")</f>
        <v/>
      </c>
      <c r="AF33" s="25">
        <f>IF(AND(ISNUMBER($D33),N(AF$2)&gt;=N($G$2),N(AF$2)&lt;=N($D33)),AF$2,"")</f>
        <v/>
      </c>
      <c r="AG33" s="25">
        <f>IF(AND(ISNUMBER($D33),N(AG$2)&gt;=N($G$2),N(AG$2)&lt;=N($D33)),AG$2,"")</f>
        <v/>
      </c>
      <c r="AH33" s="25">
        <f>IF(AND(ISNUMBER($D33),N(AH$2)&gt;=N($G$2),N(AH$2)&lt;=N($D33)),AH$2,"")</f>
        <v/>
      </c>
      <c r="AI33" s="25">
        <f>IF(AND(ISNUMBER($D33),N(AI$2)&gt;=N($G$2),N(AI$2)&lt;=N($D33)),AI$2,"")</f>
        <v/>
      </c>
      <c r="AJ33" s="25">
        <f>IF(AND(ISNUMBER($D33),N(AJ$2)&gt;=N($G$2),N(AJ$2)&lt;=N($D33)),AJ$2,"")</f>
        <v/>
      </c>
      <c r="AK33" s="25">
        <f>IF(AND(ISNUMBER($D33),N(AK$2)&gt;=N($G$2),N(AK$2)&lt;=N($D33)),AK$2,"")</f>
        <v/>
      </c>
      <c r="AL33" s="25">
        <f>IF(AND(ISNUMBER($D33),N(AL$2)&gt;=N($G$2),N(AL$2)&lt;=N($D33)),AL$2,"")</f>
        <v/>
      </c>
      <c r="AM33" s="25">
        <f>IF(AND(ISNUMBER($D33),N(AM$2)&gt;=N($G$2),N(AM$2)&lt;=N($D33)),AM$2,"")</f>
        <v/>
      </c>
      <c r="AN33" s="25">
        <f>IF(AND(ISNUMBER($D33),N(AN$2)&gt;=N($G$2),N(AN$2)&lt;=N($D33)),AN$2,"")</f>
        <v/>
      </c>
      <c r="AO33" s="25">
        <f>IF(AND(ISNUMBER($D33),N(AO$2)&gt;=N($G$2),N(AO$2)&lt;=N($D33)),AO$2,"")</f>
        <v/>
      </c>
      <c r="AP33" s="25">
        <f>IF(AND(ISNUMBER($D33),N(AP$2)&gt;=N($G$2),N(AP$2)&lt;=N($D33)),AP$2,"")</f>
        <v/>
      </c>
      <c r="AQ33" s="25">
        <f>IF(AND(ISNUMBER($D33),N(AQ$2)&gt;=N($G$2),N(AQ$2)&lt;=N($D33)),AQ$2,"")</f>
        <v/>
      </c>
      <c r="AR33" s="25">
        <f>IF(AND(ISNUMBER($D33),N(AR$2)&gt;=N($G$2),N(AR$2)&lt;=N($D33)),AR$2,"")</f>
        <v/>
      </c>
      <c r="AS33" s="25">
        <f>IF(AND(ISNUMBER($D33),N(AS$2)&gt;=N($G$2),N(AS$2)&lt;=N($D33)),AS$2,"")</f>
        <v/>
      </c>
      <c r="AT33" s="25">
        <f>IF(AND(ISNUMBER($D33),N(AT$2)&gt;=N($G$2),N(AT$2)&lt;=N($D33)),AT$2,"")</f>
        <v/>
      </c>
      <c r="AU33" s="25">
        <f>IF(AND(ISNUMBER($D33),N(AU$2)&gt;=N($G$2),N(AU$2)&lt;=N($D33)),AU$2,"")</f>
        <v/>
      </c>
      <c r="AV33" s="25">
        <f>IF(AND(ISNUMBER($D33),N(AV$2)&gt;=N($G$2),N(AV$2)&lt;=N($D33)),AV$2,"")</f>
        <v/>
      </c>
      <c r="AW33" s="25">
        <f>IF(AND(ISNUMBER($D33),N(AW$2)&gt;=N($G$2),N(AW$2)&lt;=N($D33)),AW$2,"")</f>
        <v/>
      </c>
      <c r="AX33" s="25">
        <f>IF(AND(ISNUMBER($D33),N(AX$2)&gt;=N($G$2),N(AX$2)&lt;=N($D33)),AX$2,"")</f>
        <v/>
      </c>
      <c r="AY33" s="25">
        <f>IF(AND(ISNUMBER($D33),N(AY$2)&gt;=N($G$2),N(AY$2)&lt;=N($D33)),AY$2,"")</f>
        <v/>
      </c>
      <c r="AZ33" s="25">
        <f>IF(AND(ISNUMBER($D33),N(AZ$2)&gt;=N($G$2),N(AZ$2)&lt;=N($D33)),AZ$2,"")</f>
        <v/>
      </c>
      <c r="BA33" s="25">
        <f>IF(AND(ISNUMBER($D33),N(BA$2)&gt;=N($G$2),N(BA$2)&lt;=N($D33)),BA$2,"")</f>
        <v/>
      </c>
      <c r="BB33" s="25">
        <f>IF(AND(ISNUMBER($D33),N(BB$2)&gt;=N($G$2),N(BB$2)&lt;=N($D33)),BB$2,"")</f>
        <v/>
      </c>
      <c r="BC33" s="25">
        <f>IF(AND(ISNUMBER($D33),N(BC$2)&gt;=N($G$2),N(BC$2)&lt;=N($D33)),BC$2,"")</f>
        <v/>
      </c>
      <c r="BD33" s="25">
        <f>IF(AND(ISNUMBER($D33),N(BD$2)&gt;=N($G$2),N(BD$2)&lt;=N($D33)),BD$2,"")</f>
        <v/>
      </c>
      <c r="BE33" s="25">
        <f>IF(AND(ISNUMBER($D33),N(BE$2)&gt;=N($G$2),N(BE$2)&lt;=N($D33)),BE$2,"")</f>
        <v/>
      </c>
      <c r="BF33" s="25">
        <f>IF(AND(ISNUMBER($D33),N(BF$2)&gt;=N($G$2),N(BF$2)&lt;=N($D33)),BF$2,"")</f>
        <v/>
      </c>
      <c r="BG33" s="25">
        <f>IF(AND(ISNUMBER($D33),N(BG$2)&gt;=N($G$2),N(BG$2)&lt;=N($D33)),BG$2,"")</f>
        <v/>
      </c>
      <c r="BH33" s="25">
        <f>IF(AND(ISNUMBER($D33),N(BH$2)&gt;=N($G$2),N(BH$2)&lt;=N($D33)),BH$2,"")</f>
        <v/>
      </c>
      <c r="BI33" s="25">
        <f>IF(AND(ISNUMBER($D33),N(BI$2)&gt;=N($G$2),N(BI$2)&lt;=N($D33)),BI$2,"")</f>
        <v/>
      </c>
      <c r="BJ33" s="25">
        <f>IF(AND(ISNUMBER($D33),N(BJ$2)&gt;=N($G$2),N(BJ$2)&lt;=N($D33)),BJ$2,"")</f>
        <v/>
      </c>
      <c r="BK33" s="25">
        <f>IF(AND(ISNUMBER($D33),N(BK$2)&gt;=N($G$2),N(BK$2)&lt;=N($D33)),BK$2,"")</f>
        <v/>
      </c>
      <c r="BL33" s="25">
        <f>IF(AND(ISNUMBER($D33),N(BL$2)&gt;=N($G$2),N(BL$2)&lt;=N($D33)),BL$2,"")</f>
        <v/>
      </c>
      <c r="BM33" s="25">
        <f>IF(AND(ISNUMBER($D33),N(BM$2)&gt;=N($G$2),N(BM$2)&lt;=N($D33)),BM$2,"")</f>
        <v/>
      </c>
      <c r="BN33" s="25">
        <f>IF(AND(ISNUMBER($D33),N(BN$2)&gt;=N($G$2),N(BN$2)&lt;=N($D33)),BN$2,"")</f>
        <v/>
      </c>
      <c r="BO33" s="25">
        <f>IF(AND(ISNUMBER($D33),N(BO$2)&gt;=N($G$2),N(BO$2)&lt;=N($D33)),BO$2,"")</f>
        <v/>
      </c>
    </row>
    <row r="34" ht="20" customHeight="1">
      <c r="A34" s="26" t="inlineStr">
        <is>
          <t>实际</t>
        </is>
      </c>
      <c r="B34" s="26" t="inlineStr">
        <is>
          <t>第一期</t>
        </is>
      </c>
      <c r="C34" s="27" t="inlineStr">
        <is>
          <t>PAB090·单级样机</t>
        </is>
      </c>
      <c r="D34" s="28">
        <f>'时间节点计划表'!E17</f>
        <v/>
      </c>
      <c r="E34" s="28">
        <f>IF(COUNT('时间节点计划表'!F17),'时间节点计划表'!F17,"")</f>
        <v/>
      </c>
      <c r="F34" s="29">
        <f>IF(OR(D34="",E34=""),"待填",E34-D34)</f>
        <v/>
      </c>
      <c r="G34" s="25">
        <f>IF(AND(ISNUMBER($E34),N(G$2)&gt;=N($G$2),N(G$2)&lt;=N($E34)),G$2,"")</f>
        <v/>
      </c>
      <c r="H34" s="25">
        <f>IF(AND(ISNUMBER($E34),N(H$2)&gt;=N($G$2),N(H$2)&lt;=N($E34)),H$2,"")</f>
        <v/>
      </c>
      <c r="I34" s="25">
        <f>IF(AND(ISNUMBER($E34),N(I$2)&gt;=N($G$2),N(I$2)&lt;=N($E34)),I$2,"")</f>
        <v/>
      </c>
      <c r="J34" s="25">
        <f>IF(AND(ISNUMBER($E34),N(J$2)&gt;=N($G$2),N(J$2)&lt;=N($E34)),J$2,"")</f>
        <v/>
      </c>
      <c r="K34" s="25">
        <f>IF(AND(ISNUMBER($E34),N(K$2)&gt;=N($G$2),N(K$2)&lt;=N($E34)),K$2,"")</f>
        <v/>
      </c>
      <c r="L34" s="25">
        <f>IF(AND(ISNUMBER($E34),N(L$2)&gt;=N($G$2),N(L$2)&lt;=N($E34)),L$2,"")</f>
        <v/>
      </c>
      <c r="M34" s="25">
        <f>IF(AND(ISNUMBER($E34),N(M$2)&gt;=N($G$2),N(M$2)&lt;=N($E34)),M$2,"")</f>
        <v/>
      </c>
      <c r="N34" s="25">
        <f>IF(AND(ISNUMBER($E34),N(N$2)&gt;=N($G$2),N(N$2)&lt;=N($E34)),N$2,"")</f>
        <v/>
      </c>
      <c r="O34" s="25">
        <f>IF(AND(ISNUMBER($E34),N(O$2)&gt;=N($G$2),N(O$2)&lt;=N($E34)),O$2,"")</f>
        <v/>
      </c>
      <c r="P34" s="25">
        <f>IF(AND(ISNUMBER($E34),N(P$2)&gt;=N($G$2),N(P$2)&lt;=N($E34)),P$2,"")</f>
        <v/>
      </c>
      <c r="Q34" s="25">
        <f>IF(AND(ISNUMBER($E34),N(Q$2)&gt;=N($G$2),N(Q$2)&lt;=N($E34)),Q$2,"")</f>
        <v/>
      </c>
      <c r="R34" s="25">
        <f>IF(AND(ISNUMBER($E34),N(R$2)&gt;=N($G$2),N(R$2)&lt;=N($E34)),R$2,"")</f>
        <v/>
      </c>
      <c r="S34" s="25">
        <f>IF(AND(ISNUMBER($E34),N(S$2)&gt;=N($G$2),N(S$2)&lt;=N($E34)),S$2,"")</f>
        <v/>
      </c>
      <c r="T34" s="25">
        <f>IF(AND(ISNUMBER($E34),N(T$2)&gt;=N($G$2),N(T$2)&lt;=N($E34)),T$2,"")</f>
        <v/>
      </c>
      <c r="U34" s="25">
        <f>IF(AND(ISNUMBER($E34),N(U$2)&gt;=N($G$2),N(U$2)&lt;=N($E34)),U$2,"")</f>
        <v/>
      </c>
      <c r="V34" s="25">
        <f>IF(AND(ISNUMBER($E34),N(V$2)&gt;=N($G$2),N(V$2)&lt;=N($E34)),V$2,"")</f>
        <v/>
      </c>
      <c r="W34" s="25">
        <f>IF(AND(ISNUMBER($E34),N(W$2)&gt;=N($G$2),N(W$2)&lt;=N($E34)),W$2,"")</f>
        <v/>
      </c>
      <c r="X34" s="25">
        <f>IF(AND(ISNUMBER($E34),N(X$2)&gt;=N($G$2),N(X$2)&lt;=N($E34)),X$2,"")</f>
        <v/>
      </c>
      <c r="Y34" s="25">
        <f>IF(AND(ISNUMBER($E34),N(Y$2)&gt;=N($G$2),N(Y$2)&lt;=N($E34)),Y$2,"")</f>
        <v/>
      </c>
      <c r="Z34" s="25">
        <f>IF(AND(ISNUMBER($E34),N(Z$2)&gt;=N($G$2),N(Z$2)&lt;=N($E34)),Z$2,"")</f>
        <v/>
      </c>
      <c r="AA34" s="25">
        <f>IF(AND(ISNUMBER($E34),N(AA$2)&gt;=N($G$2),N(AA$2)&lt;=N($E34)),AA$2,"")</f>
        <v/>
      </c>
      <c r="AB34" s="25">
        <f>IF(AND(ISNUMBER($E34),N(AB$2)&gt;=N($G$2),N(AB$2)&lt;=N($E34)),AB$2,"")</f>
        <v/>
      </c>
      <c r="AC34" s="25">
        <f>IF(AND(ISNUMBER($E34),N(AC$2)&gt;=N($G$2),N(AC$2)&lt;=N($E34)),AC$2,"")</f>
        <v/>
      </c>
      <c r="AD34" s="25">
        <f>IF(AND(ISNUMBER($E34),N(AD$2)&gt;=N($G$2),N(AD$2)&lt;=N($E34)),AD$2,"")</f>
        <v/>
      </c>
      <c r="AE34" s="25">
        <f>IF(AND(ISNUMBER($E34),N(AE$2)&gt;=N($G$2),N(AE$2)&lt;=N($E34)),AE$2,"")</f>
        <v/>
      </c>
      <c r="AF34" s="25">
        <f>IF(AND(ISNUMBER($E34),N(AF$2)&gt;=N($G$2),N(AF$2)&lt;=N($E34)),AF$2,"")</f>
        <v/>
      </c>
      <c r="AG34" s="25">
        <f>IF(AND(ISNUMBER($E34),N(AG$2)&gt;=N($G$2),N(AG$2)&lt;=N($E34)),AG$2,"")</f>
        <v/>
      </c>
      <c r="AH34" s="25">
        <f>IF(AND(ISNUMBER($E34),N(AH$2)&gt;=N($G$2),N(AH$2)&lt;=N($E34)),AH$2,"")</f>
        <v/>
      </c>
      <c r="AI34" s="25">
        <f>IF(AND(ISNUMBER($E34),N(AI$2)&gt;=N($G$2),N(AI$2)&lt;=N($E34)),AI$2,"")</f>
        <v/>
      </c>
      <c r="AJ34" s="25">
        <f>IF(AND(ISNUMBER($E34),N(AJ$2)&gt;=N($G$2),N(AJ$2)&lt;=N($E34)),AJ$2,"")</f>
        <v/>
      </c>
      <c r="AK34" s="25">
        <f>IF(AND(ISNUMBER($E34),N(AK$2)&gt;=N($G$2),N(AK$2)&lt;=N($E34)),AK$2,"")</f>
        <v/>
      </c>
      <c r="AL34" s="25">
        <f>IF(AND(ISNUMBER($E34),N(AL$2)&gt;=N($G$2),N(AL$2)&lt;=N($E34)),AL$2,"")</f>
        <v/>
      </c>
      <c r="AM34" s="25">
        <f>IF(AND(ISNUMBER($E34),N(AM$2)&gt;=N($G$2),N(AM$2)&lt;=N($E34)),AM$2,"")</f>
        <v/>
      </c>
      <c r="AN34" s="25">
        <f>IF(AND(ISNUMBER($E34),N(AN$2)&gt;=N($G$2),N(AN$2)&lt;=N($E34)),AN$2,"")</f>
        <v/>
      </c>
      <c r="AO34" s="25">
        <f>IF(AND(ISNUMBER($E34),N(AO$2)&gt;=N($G$2),N(AO$2)&lt;=N($E34)),AO$2,"")</f>
        <v/>
      </c>
      <c r="AP34" s="25">
        <f>IF(AND(ISNUMBER($E34),N(AP$2)&gt;=N($G$2),N(AP$2)&lt;=N($E34)),AP$2,"")</f>
        <v/>
      </c>
      <c r="AQ34" s="25">
        <f>IF(AND(ISNUMBER($E34),N(AQ$2)&gt;=N($G$2),N(AQ$2)&lt;=N($E34)),AQ$2,"")</f>
        <v/>
      </c>
      <c r="AR34" s="25">
        <f>IF(AND(ISNUMBER($E34),N(AR$2)&gt;=N($G$2),N(AR$2)&lt;=N($E34)),AR$2,"")</f>
        <v/>
      </c>
      <c r="AS34" s="25">
        <f>IF(AND(ISNUMBER($E34),N(AS$2)&gt;=N($G$2),N(AS$2)&lt;=N($E34)),AS$2,"")</f>
        <v/>
      </c>
      <c r="AT34" s="25">
        <f>IF(AND(ISNUMBER($E34),N(AT$2)&gt;=N($G$2),N(AT$2)&lt;=N($E34)),AT$2,"")</f>
        <v/>
      </c>
      <c r="AU34" s="25">
        <f>IF(AND(ISNUMBER($E34),N(AU$2)&gt;=N($G$2),N(AU$2)&lt;=N($E34)),AU$2,"")</f>
        <v/>
      </c>
      <c r="AV34" s="25">
        <f>IF(AND(ISNUMBER($E34),N(AV$2)&gt;=N($G$2),N(AV$2)&lt;=N($E34)),AV$2,"")</f>
        <v/>
      </c>
      <c r="AW34" s="25">
        <f>IF(AND(ISNUMBER($E34),N(AW$2)&gt;=N($G$2),N(AW$2)&lt;=N($E34)),AW$2,"")</f>
        <v/>
      </c>
      <c r="AX34" s="25">
        <f>IF(AND(ISNUMBER($E34),N(AX$2)&gt;=N($G$2),N(AX$2)&lt;=N($E34)),AX$2,"")</f>
        <v/>
      </c>
      <c r="AY34" s="25">
        <f>IF(AND(ISNUMBER($E34),N(AY$2)&gt;=N($G$2),N(AY$2)&lt;=N($E34)),AY$2,"")</f>
        <v/>
      </c>
      <c r="AZ34" s="25">
        <f>IF(AND(ISNUMBER($E34),N(AZ$2)&gt;=N($G$2),N(AZ$2)&lt;=N($E34)),AZ$2,"")</f>
        <v/>
      </c>
      <c r="BA34" s="25">
        <f>IF(AND(ISNUMBER($E34),N(BA$2)&gt;=N($G$2),N(BA$2)&lt;=N($E34)),BA$2,"")</f>
        <v/>
      </c>
      <c r="BB34" s="25">
        <f>IF(AND(ISNUMBER($E34),N(BB$2)&gt;=N($G$2),N(BB$2)&lt;=N($E34)),BB$2,"")</f>
        <v/>
      </c>
      <c r="BC34" s="25">
        <f>IF(AND(ISNUMBER($E34),N(BC$2)&gt;=N($G$2),N(BC$2)&lt;=N($E34)),BC$2,"")</f>
        <v/>
      </c>
      <c r="BD34" s="25">
        <f>IF(AND(ISNUMBER($E34),N(BD$2)&gt;=N($G$2),N(BD$2)&lt;=N($E34)),BD$2,"")</f>
        <v/>
      </c>
      <c r="BE34" s="25">
        <f>IF(AND(ISNUMBER($E34),N(BE$2)&gt;=N($G$2),N(BE$2)&lt;=N($E34)),BE$2,"")</f>
        <v/>
      </c>
      <c r="BF34" s="25">
        <f>IF(AND(ISNUMBER($E34),N(BF$2)&gt;=N($G$2),N(BF$2)&lt;=N($E34)),BF$2,"")</f>
        <v/>
      </c>
      <c r="BG34" s="25">
        <f>IF(AND(ISNUMBER($E34),N(BG$2)&gt;=N($G$2),N(BG$2)&lt;=N($E34)),BG$2,"")</f>
        <v/>
      </c>
      <c r="BH34" s="25">
        <f>IF(AND(ISNUMBER($E34),N(BH$2)&gt;=N($G$2),N(BH$2)&lt;=N($E34)),BH$2,"")</f>
        <v/>
      </c>
      <c r="BI34" s="25">
        <f>IF(AND(ISNUMBER($E34),N(BI$2)&gt;=N($G$2),N(BI$2)&lt;=N($E34)),BI$2,"")</f>
        <v/>
      </c>
      <c r="BJ34" s="25">
        <f>IF(AND(ISNUMBER($E34),N(BJ$2)&gt;=N($G$2),N(BJ$2)&lt;=N($E34)),BJ$2,"")</f>
        <v/>
      </c>
      <c r="BK34" s="25">
        <f>IF(AND(ISNUMBER($E34),N(BK$2)&gt;=N($G$2),N(BK$2)&lt;=N($E34)),BK$2,"")</f>
        <v/>
      </c>
      <c r="BL34" s="25">
        <f>IF(AND(ISNUMBER($E34),N(BL$2)&gt;=N($G$2),N(BL$2)&lt;=N($E34)),BL$2,"")</f>
        <v/>
      </c>
      <c r="BM34" s="25">
        <f>IF(AND(ISNUMBER($E34),N(BM$2)&gt;=N($G$2),N(BM$2)&lt;=N($E34)),BM$2,"")</f>
        <v/>
      </c>
      <c r="BN34" s="25">
        <f>IF(AND(ISNUMBER($E34),N(BN$2)&gt;=N($G$2),N(BN$2)&lt;=N($E34)),BN$2,"")</f>
        <v/>
      </c>
      <c r="BO34" s="25">
        <f>IF(AND(ISNUMBER($E34),N(BO$2)&gt;=N($G$2),N(BO$2)&lt;=N($E34)),BO$2,"")</f>
        <v/>
      </c>
    </row>
    <row r="35" ht="20" customHeight="1">
      <c r="A35" s="21" t="inlineStr">
        <is>
          <t>预估</t>
        </is>
      </c>
      <c r="B35" s="21" t="inlineStr">
        <is>
          <t>第一期</t>
        </is>
      </c>
      <c r="C35" s="22" t="inlineStr">
        <is>
          <t>PAB090·双级样机</t>
        </is>
      </c>
      <c r="D35" s="23">
        <f>'时间节点计划表'!E18</f>
        <v/>
      </c>
      <c r="E35" s="23">
        <f>IF(COUNT('时间节点计划表'!F18),'时间节点计划表'!F18,"")</f>
        <v/>
      </c>
      <c r="F35" s="24" t="inlineStr"/>
      <c r="G35" s="25">
        <f>IF(AND(ISNUMBER($D35),N(G$2)&gt;=N($G$2),N(G$2)&lt;=N($D35)),G$2,"")</f>
        <v/>
      </c>
      <c r="H35" s="25">
        <f>IF(AND(ISNUMBER($D35),N(H$2)&gt;=N($G$2),N(H$2)&lt;=N($D35)),H$2,"")</f>
        <v/>
      </c>
      <c r="I35" s="25">
        <f>IF(AND(ISNUMBER($D35),N(I$2)&gt;=N($G$2),N(I$2)&lt;=N($D35)),I$2,"")</f>
        <v/>
      </c>
      <c r="J35" s="25">
        <f>IF(AND(ISNUMBER($D35),N(J$2)&gt;=N($G$2),N(J$2)&lt;=N($D35)),J$2,"")</f>
        <v/>
      </c>
      <c r="K35" s="25">
        <f>IF(AND(ISNUMBER($D35),N(K$2)&gt;=N($G$2),N(K$2)&lt;=N($D35)),K$2,"")</f>
        <v/>
      </c>
      <c r="L35" s="25">
        <f>IF(AND(ISNUMBER($D35),N(L$2)&gt;=N($G$2),N(L$2)&lt;=N($D35)),L$2,"")</f>
        <v/>
      </c>
      <c r="M35" s="25">
        <f>IF(AND(ISNUMBER($D35),N(M$2)&gt;=N($G$2),N(M$2)&lt;=N($D35)),M$2,"")</f>
        <v/>
      </c>
      <c r="N35" s="25">
        <f>IF(AND(ISNUMBER($D35),N(N$2)&gt;=N($G$2),N(N$2)&lt;=N($D35)),N$2,"")</f>
        <v/>
      </c>
      <c r="O35" s="25">
        <f>IF(AND(ISNUMBER($D35),N(O$2)&gt;=N($G$2),N(O$2)&lt;=N($D35)),O$2,"")</f>
        <v/>
      </c>
      <c r="P35" s="25">
        <f>IF(AND(ISNUMBER($D35),N(P$2)&gt;=N($G$2),N(P$2)&lt;=N($D35)),P$2,"")</f>
        <v/>
      </c>
      <c r="Q35" s="25">
        <f>IF(AND(ISNUMBER($D35),N(Q$2)&gt;=N($G$2),N(Q$2)&lt;=N($D35)),Q$2,"")</f>
        <v/>
      </c>
      <c r="R35" s="25">
        <f>IF(AND(ISNUMBER($D35),N(R$2)&gt;=N($G$2),N(R$2)&lt;=N($D35)),R$2,"")</f>
        <v/>
      </c>
      <c r="S35" s="25">
        <f>IF(AND(ISNUMBER($D35),N(S$2)&gt;=N($G$2),N(S$2)&lt;=N($D35)),S$2,"")</f>
        <v/>
      </c>
      <c r="T35" s="25">
        <f>IF(AND(ISNUMBER($D35),N(T$2)&gt;=N($G$2),N(T$2)&lt;=N($D35)),T$2,"")</f>
        <v/>
      </c>
      <c r="U35" s="25">
        <f>IF(AND(ISNUMBER($D35),N(U$2)&gt;=N($G$2),N(U$2)&lt;=N($D35)),U$2,"")</f>
        <v/>
      </c>
      <c r="V35" s="25">
        <f>IF(AND(ISNUMBER($D35),N(V$2)&gt;=N($G$2),N(V$2)&lt;=N($D35)),V$2,"")</f>
        <v/>
      </c>
      <c r="W35" s="25">
        <f>IF(AND(ISNUMBER($D35),N(W$2)&gt;=N($G$2),N(W$2)&lt;=N($D35)),W$2,"")</f>
        <v/>
      </c>
      <c r="X35" s="25">
        <f>IF(AND(ISNUMBER($D35),N(X$2)&gt;=N($G$2),N(X$2)&lt;=N($D35)),X$2,"")</f>
        <v/>
      </c>
      <c r="Y35" s="25">
        <f>IF(AND(ISNUMBER($D35),N(Y$2)&gt;=N($G$2),N(Y$2)&lt;=N($D35)),Y$2,"")</f>
        <v/>
      </c>
      <c r="Z35" s="25">
        <f>IF(AND(ISNUMBER($D35),N(Z$2)&gt;=N($G$2),N(Z$2)&lt;=N($D35)),Z$2,"")</f>
        <v/>
      </c>
      <c r="AA35" s="25">
        <f>IF(AND(ISNUMBER($D35),N(AA$2)&gt;=N($G$2),N(AA$2)&lt;=N($D35)),AA$2,"")</f>
        <v/>
      </c>
      <c r="AB35" s="25">
        <f>IF(AND(ISNUMBER($D35),N(AB$2)&gt;=N($G$2),N(AB$2)&lt;=N($D35)),AB$2,"")</f>
        <v/>
      </c>
      <c r="AC35" s="25">
        <f>IF(AND(ISNUMBER($D35),N(AC$2)&gt;=N($G$2),N(AC$2)&lt;=N($D35)),AC$2,"")</f>
        <v/>
      </c>
      <c r="AD35" s="25">
        <f>IF(AND(ISNUMBER($D35),N(AD$2)&gt;=N($G$2),N(AD$2)&lt;=N($D35)),AD$2,"")</f>
        <v/>
      </c>
      <c r="AE35" s="25">
        <f>IF(AND(ISNUMBER($D35),N(AE$2)&gt;=N($G$2),N(AE$2)&lt;=N($D35)),AE$2,"")</f>
        <v/>
      </c>
      <c r="AF35" s="25">
        <f>IF(AND(ISNUMBER($D35),N(AF$2)&gt;=N($G$2),N(AF$2)&lt;=N($D35)),AF$2,"")</f>
        <v/>
      </c>
      <c r="AG35" s="25">
        <f>IF(AND(ISNUMBER($D35),N(AG$2)&gt;=N($G$2),N(AG$2)&lt;=N($D35)),AG$2,"")</f>
        <v/>
      </c>
      <c r="AH35" s="25">
        <f>IF(AND(ISNUMBER($D35),N(AH$2)&gt;=N($G$2),N(AH$2)&lt;=N($D35)),AH$2,"")</f>
        <v/>
      </c>
      <c r="AI35" s="25">
        <f>IF(AND(ISNUMBER($D35),N(AI$2)&gt;=N($G$2),N(AI$2)&lt;=N($D35)),AI$2,"")</f>
        <v/>
      </c>
      <c r="AJ35" s="25">
        <f>IF(AND(ISNUMBER($D35),N(AJ$2)&gt;=N($G$2),N(AJ$2)&lt;=N($D35)),AJ$2,"")</f>
        <v/>
      </c>
      <c r="AK35" s="25">
        <f>IF(AND(ISNUMBER($D35),N(AK$2)&gt;=N($G$2),N(AK$2)&lt;=N($D35)),AK$2,"")</f>
        <v/>
      </c>
      <c r="AL35" s="25">
        <f>IF(AND(ISNUMBER($D35),N(AL$2)&gt;=N($G$2),N(AL$2)&lt;=N($D35)),AL$2,"")</f>
        <v/>
      </c>
      <c r="AM35" s="25">
        <f>IF(AND(ISNUMBER($D35),N(AM$2)&gt;=N($G$2),N(AM$2)&lt;=N($D35)),AM$2,"")</f>
        <v/>
      </c>
      <c r="AN35" s="25">
        <f>IF(AND(ISNUMBER($D35),N(AN$2)&gt;=N($G$2),N(AN$2)&lt;=N($D35)),AN$2,"")</f>
        <v/>
      </c>
      <c r="AO35" s="25">
        <f>IF(AND(ISNUMBER($D35),N(AO$2)&gt;=N($G$2),N(AO$2)&lt;=N($D35)),AO$2,"")</f>
        <v/>
      </c>
      <c r="AP35" s="25">
        <f>IF(AND(ISNUMBER($D35),N(AP$2)&gt;=N($G$2),N(AP$2)&lt;=N($D35)),AP$2,"")</f>
        <v/>
      </c>
      <c r="AQ35" s="25">
        <f>IF(AND(ISNUMBER($D35),N(AQ$2)&gt;=N($G$2),N(AQ$2)&lt;=N($D35)),AQ$2,"")</f>
        <v/>
      </c>
      <c r="AR35" s="25">
        <f>IF(AND(ISNUMBER($D35),N(AR$2)&gt;=N($G$2),N(AR$2)&lt;=N($D35)),AR$2,"")</f>
        <v/>
      </c>
      <c r="AS35" s="25">
        <f>IF(AND(ISNUMBER($D35),N(AS$2)&gt;=N($G$2),N(AS$2)&lt;=N($D35)),AS$2,"")</f>
        <v/>
      </c>
      <c r="AT35" s="25">
        <f>IF(AND(ISNUMBER($D35),N(AT$2)&gt;=N($G$2),N(AT$2)&lt;=N($D35)),AT$2,"")</f>
        <v/>
      </c>
      <c r="AU35" s="25">
        <f>IF(AND(ISNUMBER($D35),N(AU$2)&gt;=N($G$2),N(AU$2)&lt;=N($D35)),AU$2,"")</f>
        <v/>
      </c>
      <c r="AV35" s="25">
        <f>IF(AND(ISNUMBER($D35),N(AV$2)&gt;=N($G$2),N(AV$2)&lt;=N($D35)),AV$2,"")</f>
        <v/>
      </c>
      <c r="AW35" s="25">
        <f>IF(AND(ISNUMBER($D35),N(AW$2)&gt;=N($G$2),N(AW$2)&lt;=N($D35)),AW$2,"")</f>
        <v/>
      </c>
      <c r="AX35" s="25">
        <f>IF(AND(ISNUMBER($D35),N(AX$2)&gt;=N($G$2),N(AX$2)&lt;=N($D35)),AX$2,"")</f>
        <v/>
      </c>
      <c r="AY35" s="25">
        <f>IF(AND(ISNUMBER($D35),N(AY$2)&gt;=N($G$2),N(AY$2)&lt;=N($D35)),AY$2,"")</f>
        <v/>
      </c>
      <c r="AZ35" s="25">
        <f>IF(AND(ISNUMBER($D35),N(AZ$2)&gt;=N($G$2),N(AZ$2)&lt;=N($D35)),AZ$2,"")</f>
        <v/>
      </c>
      <c r="BA35" s="25">
        <f>IF(AND(ISNUMBER($D35),N(BA$2)&gt;=N($G$2),N(BA$2)&lt;=N($D35)),BA$2,"")</f>
        <v/>
      </c>
      <c r="BB35" s="25">
        <f>IF(AND(ISNUMBER($D35),N(BB$2)&gt;=N($G$2),N(BB$2)&lt;=N($D35)),BB$2,"")</f>
        <v/>
      </c>
      <c r="BC35" s="25">
        <f>IF(AND(ISNUMBER($D35),N(BC$2)&gt;=N($G$2),N(BC$2)&lt;=N($D35)),BC$2,"")</f>
        <v/>
      </c>
      <c r="BD35" s="25">
        <f>IF(AND(ISNUMBER($D35),N(BD$2)&gt;=N($G$2),N(BD$2)&lt;=N($D35)),BD$2,"")</f>
        <v/>
      </c>
      <c r="BE35" s="25">
        <f>IF(AND(ISNUMBER($D35),N(BE$2)&gt;=N($G$2),N(BE$2)&lt;=N($D35)),BE$2,"")</f>
        <v/>
      </c>
      <c r="BF35" s="25">
        <f>IF(AND(ISNUMBER($D35),N(BF$2)&gt;=N($G$2),N(BF$2)&lt;=N($D35)),BF$2,"")</f>
        <v/>
      </c>
      <c r="BG35" s="25">
        <f>IF(AND(ISNUMBER($D35),N(BG$2)&gt;=N($G$2),N(BG$2)&lt;=N($D35)),BG$2,"")</f>
        <v/>
      </c>
      <c r="BH35" s="25">
        <f>IF(AND(ISNUMBER($D35),N(BH$2)&gt;=N($G$2),N(BH$2)&lt;=N($D35)),BH$2,"")</f>
        <v/>
      </c>
      <c r="BI35" s="25">
        <f>IF(AND(ISNUMBER($D35),N(BI$2)&gt;=N($G$2),N(BI$2)&lt;=N($D35)),BI$2,"")</f>
        <v/>
      </c>
      <c r="BJ35" s="25">
        <f>IF(AND(ISNUMBER($D35),N(BJ$2)&gt;=N($G$2),N(BJ$2)&lt;=N($D35)),BJ$2,"")</f>
        <v/>
      </c>
      <c r="BK35" s="25">
        <f>IF(AND(ISNUMBER($D35),N(BK$2)&gt;=N($G$2),N(BK$2)&lt;=N($D35)),BK$2,"")</f>
        <v/>
      </c>
      <c r="BL35" s="25">
        <f>IF(AND(ISNUMBER($D35),N(BL$2)&gt;=N($G$2),N(BL$2)&lt;=N($D35)),BL$2,"")</f>
        <v/>
      </c>
      <c r="BM35" s="25">
        <f>IF(AND(ISNUMBER($D35),N(BM$2)&gt;=N($G$2),N(BM$2)&lt;=N($D35)),BM$2,"")</f>
        <v/>
      </c>
      <c r="BN35" s="25">
        <f>IF(AND(ISNUMBER($D35),N(BN$2)&gt;=N($G$2),N(BN$2)&lt;=N($D35)),BN$2,"")</f>
        <v/>
      </c>
      <c r="BO35" s="25">
        <f>IF(AND(ISNUMBER($D35),N(BO$2)&gt;=N($G$2),N(BO$2)&lt;=N($D35)),BO$2,"")</f>
        <v/>
      </c>
    </row>
    <row r="36" ht="20" customHeight="1">
      <c r="A36" s="26" t="inlineStr">
        <is>
          <t>实际</t>
        </is>
      </c>
      <c r="B36" s="26" t="inlineStr">
        <is>
          <t>第一期</t>
        </is>
      </c>
      <c r="C36" s="27" t="inlineStr">
        <is>
          <t>PAB090·双级样机</t>
        </is>
      </c>
      <c r="D36" s="28">
        <f>'时间节点计划表'!E18</f>
        <v/>
      </c>
      <c r="E36" s="28">
        <f>IF(COUNT('时间节点计划表'!F18),'时间节点计划表'!F18,"")</f>
        <v/>
      </c>
      <c r="F36" s="29">
        <f>IF(OR(D36="",E36=""),"待填",E36-D36)</f>
        <v/>
      </c>
      <c r="G36" s="25">
        <f>IF(AND(ISNUMBER($E36),N(G$2)&gt;=N($G$2),N(G$2)&lt;=N($E36)),G$2,"")</f>
        <v/>
      </c>
      <c r="H36" s="25">
        <f>IF(AND(ISNUMBER($E36),N(H$2)&gt;=N($G$2),N(H$2)&lt;=N($E36)),H$2,"")</f>
        <v/>
      </c>
      <c r="I36" s="25">
        <f>IF(AND(ISNUMBER($E36),N(I$2)&gt;=N($G$2),N(I$2)&lt;=N($E36)),I$2,"")</f>
        <v/>
      </c>
      <c r="J36" s="25">
        <f>IF(AND(ISNUMBER($E36),N(J$2)&gt;=N($G$2),N(J$2)&lt;=N($E36)),J$2,"")</f>
        <v/>
      </c>
      <c r="K36" s="25">
        <f>IF(AND(ISNUMBER($E36),N(K$2)&gt;=N($G$2),N(K$2)&lt;=N($E36)),K$2,"")</f>
        <v/>
      </c>
      <c r="L36" s="25">
        <f>IF(AND(ISNUMBER($E36),N(L$2)&gt;=N($G$2),N(L$2)&lt;=N($E36)),L$2,"")</f>
        <v/>
      </c>
      <c r="M36" s="25">
        <f>IF(AND(ISNUMBER($E36),N(M$2)&gt;=N($G$2),N(M$2)&lt;=N($E36)),M$2,"")</f>
        <v/>
      </c>
      <c r="N36" s="25">
        <f>IF(AND(ISNUMBER($E36),N(N$2)&gt;=N($G$2),N(N$2)&lt;=N($E36)),N$2,"")</f>
        <v/>
      </c>
      <c r="O36" s="25">
        <f>IF(AND(ISNUMBER($E36),N(O$2)&gt;=N($G$2),N(O$2)&lt;=N($E36)),O$2,"")</f>
        <v/>
      </c>
      <c r="P36" s="25">
        <f>IF(AND(ISNUMBER($E36),N(P$2)&gt;=N($G$2),N(P$2)&lt;=N($E36)),P$2,"")</f>
        <v/>
      </c>
      <c r="Q36" s="25">
        <f>IF(AND(ISNUMBER($E36),N(Q$2)&gt;=N($G$2),N(Q$2)&lt;=N($E36)),Q$2,"")</f>
        <v/>
      </c>
      <c r="R36" s="25">
        <f>IF(AND(ISNUMBER($E36),N(R$2)&gt;=N($G$2),N(R$2)&lt;=N($E36)),R$2,"")</f>
        <v/>
      </c>
      <c r="S36" s="25">
        <f>IF(AND(ISNUMBER($E36),N(S$2)&gt;=N($G$2),N(S$2)&lt;=N($E36)),S$2,"")</f>
        <v/>
      </c>
      <c r="T36" s="25">
        <f>IF(AND(ISNUMBER($E36),N(T$2)&gt;=N($G$2),N(T$2)&lt;=N($E36)),T$2,"")</f>
        <v/>
      </c>
      <c r="U36" s="25">
        <f>IF(AND(ISNUMBER($E36),N(U$2)&gt;=N($G$2),N(U$2)&lt;=N($E36)),U$2,"")</f>
        <v/>
      </c>
      <c r="V36" s="25">
        <f>IF(AND(ISNUMBER($E36),N(V$2)&gt;=N($G$2),N(V$2)&lt;=N($E36)),V$2,"")</f>
        <v/>
      </c>
      <c r="W36" s="25">
        <f>IF(AND(ISNUMBER($E36),N(W$2)&gt;=N($G$2),N(W$2)&lt;=N($E36)),W$2,"")</f>
        <v/>
      </c>
      <c r="X36" s="25">
        <f>IF(AND(ISNUMBER($E36),N(X$2)&gt;=N($G$2),N(X$2)&lt;=N($E36)),X$2,"")</f>
        <v/>
      </c>
      <c r="Y36" s="25">
        <f>IF(AND(ISNUMBER($E36),N(Y$2)&gt;=N($G$2),N(Y$2)&lt;=N($E36)),Y$2,"")</f>
        <v/>
      </c>
      <c r="Z36" s="25">
        <f>IF(AND(ISNUMBER($E36),N(Z$2)&gt;=N($G$2),N(Z$2)&lt;=N($E36)),Z$2,"")</f>
        <v/>
      </c>
      <c r="AA36" s="25">
        <f>IF(AND(ISNUMBER($E36),N(AA$2)&gt;=N($G$2),N(AA$2)&lt;=N($E36)),AA$2,"")</f>
        <v/>
      </c>
      <c r="AB36" s="25">
        <f>IF(AND(ISNUMBER($E36),N(AB$2)&gt;=N($G$2),N(AB$2)&lt;=N($E36)),AB$2,"")</f>
        <v/>
      </c>
      <c r="AC36" s="25">
        <f>IF(AND(ISNUMBER($E36),N(AC$2)&gt;=N($G$2),N(AC$2)&lt;=N($E36)),AC$2,"")</f>
        <v/>
      </c>
      <c r="AD36" s="25">
        <f>IF(AND(ISNUMBER($E36),N(AD$2)&gt;=N($G$2),N(AD$2)&lt;=N($E36)),AD$2,"")</f>
        <v/>
      </c>
      <c r="AE36" s="25">
        <f>IF(AND(ISNUMBER($E36),N(AE$2)&gt;=N($G$2),N(AE$2)&lt;=N($E36)),AE$2,"")</f>
        <v/>
      </c>
      <c r="AF36" s="25">
        <f>IF(AND(ISNUMBER($E36),N(AF$2)&gt;=N($G$2),N(AF$2)&lt;=N($E36)),AF$2,"")</f>
        <v/>
      </c>
      <c r="AG36" s="25">
        <f>IF(AND(ISNUMBER($E36),N(AG$2)&gt;=N($G$2),N(AG$2)&lt;=N($E36)),AG$2,"")</f>
        <v/>
      </c>
      <c r="AH36" s="25">
        <f>IF(AND(ISNUMBER($E36),N(AH$2)&gt;=N($G$2),N(AH$2)&lt;=N($E36)),AH$2,"")</f>
        <v/>
      </c>
      <c r="AI36" s="25">
        <f>IF(AND(ISNUMBER($E36),N(AI$2)&gt;=N($G$2),N(AI$2)&lt;=N($E36)),AI$2,"")</f>
        <v/>
      </c>
      <c r="AJ36" s="25">
        <f>IF(AND(ISNUMBER($E36),N(AJ$2)&gt;=N($G$2),N(AJ$2)&lt;=N($E36)),AJ$2,"")</f>
        <v/>
      </c>
      <c r="AK36" s="25">
        <f>IF(AND(ISNUMBER($E36),N(AK$2)&gt;=N($G$2),N(AK$2)&lt;=N($E36)),AK$2,"")</f>
        <v/>
      </c>
      <c r="AL36" s="25">
        <f>IF(AND(ISNUMBER($E36),N(AL$2)&gt;=N($G$2),N(AL$2)&lt;=N($E36)),AL$2,"")</f>
        <v/>
      </c>
      <c r="AM36" s="25">
        <f>IF(AND(ISNUMBER($E36),N(AM$2)&gt;=N($G$2),N(AM$2)&lt;=N($E36)),AM$2,"")</f>
        <v/>
      </c>
      <c r="AN36" s="25">
        <f>IF(AND(ISNUMBER($E36),N(AN$2)&gt;=N($G$2),N(AN$2)&lt;=N($E36)),AN$2,"")</f>
        <v/>
      </c>
      <c r="AO36" s="25">
        <f>IF(AND(ISNUMBER($E36),N(AO$2)&gt;=N($G$2),N(AO$2)&lt;=N($E36)),AO$2,"")</f>
        <v/>
      </c>
      <c r="AP36" s="25">
        <f>IF(AND(ISNUMBER($E36),N(AP$2)&gt;=N($G$2),N(AP$2)&lt;=N($E36)),AP$2,"")</f>
        <v/>
      </c>
      <c r="AQ36" s="25">
        <f>IF(AND(ISNUMBER($E36),N(AQ$2)&gt;=N($G$2),N(AQ$2)&lt;=N($E36)),AQ$2,"")</f>
        <v/>
      </c>
      <c r="AR36" s="25">
        <f>IF(AND(ISNUMBER($E36),N(AR$2)&gt;=N($G$2),N(AR$2)&lt;=N($E36)),AR$2,"")</f>
        <v/>
      </c>
      <c r="AS36" s="25">
        <f>IF(AND(ISNUMBER($E36),N(AS$2)&gt;=N($G$2),N(AS$2)&lt;=N($E36)),AS$2,"")</f>
        <v/>
      </c>
      <c r="AT36" s="25">
        <f>IF(AND(ISNUMBER($E36),N(AT$2)&gt;=N($G$2),N(AT$2)&lt;=N($E36)),AT$2,"")</f>
        <v/>
      </c>
      <c r="AU36" s="25">
        <f>IF(AND(ISNUMBER($E36),N(AU$2)&gt;=N($G$2),N(AU$2)&lt;=N($E36)),AU$2,"")</f>
        <v/>
      </c>
      <c r="AV36" s="25">
        <f>IF(AND(ISNUMBER($E36),N(AV$2)&gt;=N($G$2),N(AV$2)&lt;=N($E36)),AV$2,"")</f>
        <v/>
      </c>
      <c r="AW36" s="25">
        <f>IF(AND(ISNUMBER($E36),N(AW$2)&gt;=N($G$2),N(AW$2)&lt;=N($E36)),AW$2,"")</f>
        <v/>
      </c>
      <c r="AX36" s="25">
        <f>IF(AND(ISNUMBER($E36),N(AX$2)&gt;=N($G$2),N(AX$2)&lt;=N($E36)),AX$2,"")</f>
        <v/>
      </c>
      <c r="AY36" s="25">
        <f>IF(AND(ISNUMBER($E36),N(AY$2)&gt;=N($G$2),N(AY$2)&lt;=N($E36)),AY$2,"")</f>
        <v/>
      </c>
      <c r="AZ36" s="25">
        <f>IF(AND(ISNUMBER($E36),N(AZ$2)&gt;=N($G$2),N(AZ$2)&lt;=N($E36)),AZ$2,"")</f>
        <v/>
      </c>
      <c r="BA36" s="25">
        <f>IF(AND(ISNUMBER($E36),N(BA$2)&gt;=N($G$2),N(BA$2)&lt;=N($E36)),BA$2,"")</f>
        <v/>
      </c>
      <c r="BB36" s="25">
        <f>IF(AND(ISNUMBER($E36),N(BB$2)&gt;=N($G$2),N(BB$2)&lt;=N($E36)),BB$2,"")</f>
        <v/>
      </c>
      <c r="BC36" s="25">
        <f>IF(AND(ISNUMBER($E36),N(BC$2)&gt;=N($G$2),N(BC$2)&lt;=N($E36)),BC$2,"")</f>
        <v/>
      </c>
      <c r="BD36" s="25">
        <f>IF(AND(ISNUMBER($E36),N(BD$2)&gt;=N($G$2),N(BD$2)&lt;=N($E36)),BD$2,"")</f>
        <v/>
      </c>
      <c r="BE36" s="25">
        <f>IF(AND(ISNUMBER($E36),N(BE$2)&gt;=N($G$2),N(BE$2)&lt;=N($E36)),BE$2,"")</f>
        <v/>
      </c>
      <c r="BF36" s="25">
        <f>IF(AND(ISNUMBER($E36),N(BF$2)&gt;=N($G$2),N(BF$2)&lt;=N($E36)),BF$2,"")</f>
        <v/>
      </c>
      <c r="BG36" s="25">
        <f>IF(AND(ISNUMBER($E36),N(BG$2)&gt;=N($G$2),N(BG$2)&lt;=N($E36)),BG$2,"")</f>
        <v/>
      </c>
      <c r="BH36" s="25">
        <f>IF(AND(ISNUMBER($E36),N(BH$2)&gt;=N($G$2),N(BH$2)&lt;=N($E36)),BH$2,"")</f>
        <v/>
      </c>
      <c r="BI36" s="25">
        <f>IF(AND(ISNUMBER($E36),N(BI$2)&gt;=N($G$2),N(BI$2)&lt;=N($E36)),BI$2,"")</f>
        <v/>
      </c>
      <c r="BJ36" s="25">
        <f>IF(AND(ISNUMBER($E36),N(BJ$2)&gt;=N($G$2),N(BJ$2)&lt;=N($E36)),BJ$2,"")</f>
        <v/>
      </c>
      <c r="BK36" s="25">
        <f>IF(AND(ISNUMBER($E36),N(BK$2)&gt;=N($G$2),N(BK$2)&lt;=N($E36)),BK$2,"")</f>
        <v/>
      </c>
      <c r="BL36" s="25">
        <f>IF(AND(ISNUMBER($E36),N(BL$2)&gt;=N($G$2),N(BL$2)&lt;=N($E36)),BL$2,"")</f>
        <v/>
      </c>
      <c r="BM36" s="25">
        <f>IF(AND(ISNUMBER($E36),N(BM$2)&gt;=N($G$2),N(BM$2)&lt;=N($E36)),BM$2,"")</f>
        <v/>
      </c>
      <c r="BN36" s="25">
        <f>IF(AND(ISNUMBER($E36),N(BN$2)&gt;=N($G$2),N(BN$2)&lt;=N($E36)),BN$2,"")</f>
        <v/>
      </c>
      <c r="BO36" s="25">
        <f>IF(AND(ISNUMBER($E36),N(BO$2)&gt;=N($G$2),N(BO$2)&lt;=N($E36)),BO$2,"")</f>
        <v/>
      </c>
    </row>
    <row r="37" ht="20" customHeight="1">
      <c r="A37" s="21" t="inlineStr">
        <is>
          <t>预估</t>
        </is>
      </c>
      <c r="B37" s="21" t="inlineStr">
        <is>
          <t>第一期</t>
        </is>
      </c>
      <c r="C37" s="22" t="inlineStr">
        <is>
          <t>PAB115·零件到位</t>
        </is>
      </c>
      <c r="D37" s="23">
        <f>'时间节点计划表'!E19</f>
        <v/>
      </c>
      <c r="E37" s="23">
        <f>IF(COUNT('时间节点计划表'!F19),'时间节点计划表'!F19,"")</f>
        <v/>
      </c>
      <c r="F37" s="24" t="inlineStr"/>
      <c r="G37" s="25">
        <f>IF(AND(ISNUMBER($D37),N(G$2)&gt;=N($G$2),N(G$2)&lt;=N($D37)),G$2,"")</f>
        <v/>
      </c>
      <c r="H37" s="25">
        <f>IF(AND(ISNUMBER($D37),N(H$2)&gt;=N($G$2),N(H$2)&lt;=N($D37)),H$2,"")</f>
        <v/>
      </c>
      <c r="I37" s="25">
        <f>IF(AND(ISNUMBER($D37),N(I$2)&gt;=N($G$2),N(I$2)&lt;=N($D37)),I$2,"")</f>
        <v/>
      </c>
      <c r="J37" s="25">
        <f>IF(AND(ISNUMBER($D37),N(J$2)&gt;=N($G$2),N(J$2)&lt;=N($D37)),J$2,"")</f>
        <v/>
      </c>
      <c r="K37" s="25">
        <f>IF(AND(ISNUMBER($D37),N(K$2)&gt;=N($G$2),N(K$2)&lt;=N($D37)),K$2,"")</f>
        <v/>
      </c>
      <c r="L37" s="25">
        <f>IF(AND(ISNUMBER($D37),N(L$2)&gt;=N($G$2),N(L$2)&lt;=N($D37)),L$2,"")</f>
        <v/>
      </c>
      <c r="M37" s="25">
        <f>IF(AND(ISNUMBER($D37),N(M$2)&gt;=N($G$2),N(M$2)&lt;=N($D37)),M$2,"")</f>
        <v/>
      </c>
      <c r="N37" s="25">
        <f>IF(AND(ISNUMBER($D37),N(N$2)&gt;=N($G$2),N(N$2)&lt;=N($D37)),N$2,"")</f>
        <v/>
      </c>
      <c r="O37" s="25">
        <f>IF(AND(ISNUMBER($D37),N(O$2)&gt;=N($G$2),N(O$2)&lt;=N($D37)),O$2,"")</f>
        <v/>
      </c>
      <c r="P37" s="25">
        <f>IF(AND(ISNUMBER($D37),N(P$2)&gt;=N($G$2),N(P$2)&lt;=N($D37)),P$2,"")</f>
        <v/>
      </c>
      <c r="Q37" s="25">
        <f>IF(AND(ISNUMBER($D37),N(Q$2)&gt;=N($G$2),N(Q$2)&lt;=N($D37)),Q$2,"")</f>
        <v/>
      </c>
      <c r="R37" s="25">
        <f>IF(AND(ISNUMBER($D37),N(R$2)&gt;=N($G$2),N(R$2)&lt;=N($D37)),R$2,"")</f>
        <v/>
      </c>
      <c r="S37" s="25">
        <f>IF(AND(ISNUMBER($D37),N(S$2)&gt;=N($G$2),N(S$2)&lt;=N($D37)),S$2,"")</f>
        <v/>
      </c>
      <c r="T37" s="25">
        <f>IF(AND(ISNUMBER($D37),N(T$2)&gt;=N($G$2),N(T$2)&lt;=N($D37)),T$2,"")</f>
        <v/>
      </c>
      <c r="U37" s="25">
        <f>IF(AND(ISNUMBER($D37),N(U$2)&gt;=N($G$2),N(U$2)&lt;=N($D37)),U$2,"")</f>
        <v/>
      </c>
      <c r="V37" s="25">
        <f>IF(AND(ISNUMBER($D37),N(V$2)&gt;=N($G$2),N(V$2)&lt;=N($D37)),V$2,"")</f>
        <v/>
      </c>
      <c r="W37" s="25">
        <f>IF(AND(ISNUMBER($D37),N(W$2)&gt;=N($G$2),N(W$2)&lt;=N($D37)),W$2,"")</f>
        <v/>
      </c>
      <c r="X37" s="25">
        <f>IF(AND(ISNUMBER($D37),N(X$2)&gt;=N($G$2),N(X$2)&lt;=N($D37)),X$2,"")</f>
        <v/>
      </c>
      <c r="Y37" s="25">
        <f>IF(AND(ISNUMBER($D37),N(Y$2)&gt;=N($G$2),N(Y$2)&lt;=N($D37)),Y$2,"")</f>
        <v/>
      </c>
      <c r="Z37" s="25">
        <f>IF(AND(ISNUMBER($D37),N(Z$2)&gt;=N($G$2),N(Z$2)&lt;=N($D37)),Z$2,"")</f>
        <v/>
      </c>
      <c r="AA37" s="25">
        <f>IF(AND(ISNUMBER($D37),N(AA$2)&gt;=N($G$2),N(AA$2)&lt;=N($D37)),AA$2,"")</f>
        <v/>
      </c>
      <c r="AB37" s="25">
        <f>IF(AND(ISNUMBER($D37),N(AB$2)&gt;=N($G$2),N(AB$2)&lt;=N($D37)),AB$2,"")</f>
        <v/>
      </c>
      <c r="AC37" s="25">
        <f>IF(AND(ISNUMBER($D37),N(AC$2)&gt;=N($G$2),N(AC$2)&lt;=N($D37)),AC$2,"")</f>
        <v/>
      </c>
      <c r="AD37" s="25">
        <f>IF(AND(ISNUMBER($D37),N(AD$2)&gt;=N($G$2),N(AD$2)&lt;=N($D37)),AD$2,"")</f>
        <v/>
      </c>
      <c r="AE37" s="25">
        <f>IF(AND(ISNUMBER($D37),N(AE$2)&gt;=N($G$2),N(AE$2)&lt;=N($D37)),AE$2,"")</f>
        <v/>
      </c>
      <c r="AF37" s="25">
        <f>IF(AND(ISNUMBER($D37),N(AF$2)&gt;=N($G$2),N(AF$2)&lt;=N($D37)),AF$2,"")</f>
        <v/>
      </c>
      <c r="AG37" s="25">
        <f>IF(AND(ISNUMBER($D37),N(AG$2)&gt;=N($G$2),N(AG$2)&lt;=N($D37)),AG$2,"")</f>
        <v/>
      </c>
      <c r="AH37" s="25">
        <f>IF(AND(ISNUMBER($D37),N(AH$2)&gt;=N($G$2),N(AH$2)&lt;=N($D37)),AH$2,"")</f>
        <v/>
      </c>
      <c r="AI37" s="25">
        <f>IF(AND(ISNUMBER($D37),N(AI$2)&gt;=N($G$2),N(AI$2)&lt;=N($D37)),AI$2,"")</f>
        <v/>
      </c>
      <c r="AJ37" s="25">
        <f>IF(AND(ISNUMBER($D37),N(AJ$2)&gt;=N($G$2),N(AJ$2)&lt;=N($D37)),AJ$2,"")</f>
        <v/>
      </c>
      <c r="AK37" s="25">
        <f>IF(AND(ISNUMBER($D37),N(AK$2)&gt;=N($G$2),N(AK$2)&lt;=N($D37)),AK$2,"")</f>
        <v/>
      </c>
      <c r="AL37" s="25">
        <f>IF(AND(ISNUMBER($D37),N(AL$2)&gt;=N($G$2),N(AL$2)&lt;=N($D37)),AL$2,"")</f>
        <v/>
      </c>
      <c r="AM37" s="25">
        <f>IF(AND(ISNUMBER($D37),N(AM$2)&gt;=N($G$2),N(AM$2)&lt;=N($D37)),AM$2,"")</f>
        <v/>
      </c>
      <c r="AN37" s="25">
        <f>IF(AND(ISNUMBER($D37),N(AN$2)&gt;=N($G$2),N(AN$2)&lt;=N($D37)),AN$2,"")</f>
        <v/>
      </c>
      <c r="AO37" s="25">
        <f>IF(AND(ISNUMBER($D37),N(AO$2)&gt;=N($G$2),N(AO$2)&lt;=N($D37)),AO$2,"")</f>
        <v/>
      </c>
      <c r="AP37" s="25">
        <f>IF(AND(ISNUMBER($D37),N(AP$2)&gt;=N($G$2),N(AP$2)&lt;=N($D37)),AP$2,"")</f>
        <v/>
      </c>
      <c r="AQ37" s="25">
        <f>IF(AND(ISNUMBER($D37),N(AQ$2)&gt;=N($G$2),N(AQ$2)&lt;=N($D37)),AQ$2,"")</f>
        <v/>
      </c>
      <c r="AR37" s="25">
        <f>IF(AND(ISNUMBER($D37),N(AR$2)&gt;=N($G$2),N(AR$2)&lt;=N($D37)),AR$2,"")</f>
        <v/>
      </c>
      <c r="AS37" s="25">
        <f>IF(AND(ISNUMBER($D37),N(AS$2)&gt;=N($G$2),N(AS$2)&lt;=N($D37)),AS$2,"")</f>
        <v/>
      </c>
      <c r="AT37" s="25">
        <f>IF(AND(ISNUMBER($D37),N(AT$2)&gt;=N($G$2),N(AT$2)&lt;=N($D37)),AT$2,"")</f>
        <v/>
      </c>
      <c r="AU37" s="25">
        <f>IF(AND(ISNUMBER($D37),N(AU$2)&gt;=N($G$2),N(AU$2)&lt;=N($D37)),AU$2,"")</f>
        <v/>
      </c>
      <c r="AV37" s="25">
        <f>IF(AND(ISNUMBER($D37),N(AV$2)&gt;=N($G$2),N(AV$2)&lt;=N($D37)),AV$2,"")</f>
        <v/>
      </c>
      <c r="AW37" s="25">
        <f>IF(AND(ISNUMBER($D37),N(AW$2)&gt;=N($G$2),N(AW$2)&lt;=N($D37)),AW$2,"")</f>
        <v/>
      </c>
      <c r="AX37" s="25">
        <f>IF(AND(ISNUMBER($D37),N(AX$2)&gt;=N($G$2),N(AX$2)&lt;=N($D37)),AX$2,"")</f>
        <v/>
      </c>
      <c r="AY37" s="25">
        <f>IF(AND(ISNUMBER($D37),N(AY$2)&gt;=N($G$2),N(AY$2)&lt;=N($D37)),AY$2,"")</f>
        <v/>
      </c>
      <c r="AZ37" s="25">
        <f>IF(AND(ISNUMBER($D37),N(AZ$2)&gt;=N($G$2),N(AZ$2)&lt;=N($D37)),AZ$2,"")</f>
        <v/>
      </c>
      <c r="BA37" s="25">
        <f>IF(AND(ISNUMBER($D37),N(BA$2)&gt;=N($G$2),N(BA$2)&lt;=N($D37)),BA$2,"")</f>
        <v/>
      </c>
      <c r="BB37" s="25">
        <f>IF(AND(ISNUMBER($D37),N(BB$2)&gt;=N($G$2),N(BB$2)&lt;=N($D37)),BB$2,"")</f>
        <v/>
      </c>
      <c r="BC37" s="25">
        <f>IF(AND(ISNUMBER($D37),N(BC$2)&gt;=N($G$2),N(BC$2)&lt;=N($D37)),BC$2,"")</f>
        <v/>
      </c>
      <c r="BD37" s="25">
        <f>IF(AND(ISNUMBER($D37),N(BD$2)&gt;=N($G$2),N(BD$2)&lt;=N($D37)),BD$2,"")</f>
        <v/>
      </c>
      <c r="BE37" s="25">
        <f>IF(AND(ISNUMBER($D37),N(BE$2)&gt;=N($G$2),N(BE$2)&lt;=N($D37)),BE$2,"")</f>
        <v/>
      </c>
      <c r="BF37" s="25">
        <f>IF(AND(ISNUMBER($D37),N(BF$2)&gt;=N($G$2),N(BF$2)&lt;=N($D37)),BF$2,"")</f>
        <v/>
      </c>
      <c r="BG37" s="25">
        <f>IF(AND(ISNUMBER($D37),N(BG$2)&gt;=N($G$2),N(BG$2)&lt;=N($D37)),BG$2,"")</f>
        <v/>
      </c>
      <c r="BH37" s="25">
        <f>IF(AND(ISNUMBER($D37),N(BH$2)&gt;=N($G$2),N(BH$2)&lt;=N($D37)),BH$2,"")</f>
        <v/>
      </c>
      <c r="BI37" s="25">
        <f>IF(AND(ISNUMBER($D37),N(BI$2)&gt;=N($G$2),N(BI$2)&lt;=N($D37)),BI$2,"")</f>
        <v/>
      </c>
      <c r="BJ37" s="25">
        <f>IF(AND(ISNUMBER($D37),N(BJ$2)&gt;=N($G$2),N(BJ$2)&lt;=N($D37)),BJ$2,"")</f>
        <v/>
      </c>
      <c r="BK37" s="25">
        <f>IF(AND(ISNUMBER($D37),N(BK$2)&gt;=N($G$2),N(BK$2)&lt;=N($D37)),BK$2,"")</f>
        <v/>
      </c>
      <c r="BL37" s="25">
        <f>IF(AND(ISNUMBER($D37),N(BL$2)&gt;=N($G$2),N(BL$2)&lt;=N($D37)),BL$2,"")</f>
        <v/>
      </c>
      <c r="BM37" s="25">
        <f>IF(AND(ISNUMBER($D37),N(BM$2)&gt;=N($G$2),N(BM$2)&lt;=N($D37)),BM$2,"")</f>
        <v/>
      </c>
      <c r="BN37" s="25">
        <f>IF(AND(ISNUMBER($D37),N(BN$2)&gt;=N($G$2),N(BN$2)&lt;=N($D37)),BN$2,"")</f>
        <v/>
      </c>
      <c r="BO37" s="25">
        <f>IF(AND(ISNUMBER($D37),N(BO$2)&gt;=N($G$2),N(BO$2)&lt;=N($D37)),BO$2,"")</f>
        <v/>
      </c>
    </row>
    <row r="38" ht="20" customHeight="1">
      <c r="A38" s="26" t="inlineStr">
        <is>
          <t>实际</t>
        </is>
      </c>
      <c r="B38" s="26" t="inlineStr">
        <is>
          <t>第一期</t>
        </is>
      </c>
      <c r="C38" s="27" t="inlineStr">
        <is>
          <t>PAB115·零件到位</t>
        </is>
      </c>
      <c r="D38" s="28">
        <f>'时间节点计划表'!E19</f>
        <v/>
      </c>
      <c r="E38" s="28">
        <f>IF(COUNT('时间节点计划表'!F19),'时间节点计划表'!F19,"")</f>
        <v/>
      </c>
      <c r="F38" s="29">
        <f>IF(OR(D38="",E38=""),"待填",E38-D38)</f>
        <v/>
      </c>
      <c r="G38" s="25">
        <f>IF(AND(ISNUMBER($E38),N(G$2)&gt;=N($G$2),N(G$2)&lt;=N($E38)),G$2,"")</f>
        <v/>
      </c>
      <c r="H38" s="25">
        <f>IF(AND(ISNUMBER($E38),N(H$2)&gt;=N($G$2),N(H$2)&lt;=N($E38)),H$2,"")</f>
        <v/>
      </c>
      <c r="I38" s="25">
        <f>IF(AND(ISNUMBER($E38),N(I$2)&gt;=N($G$2),N(I$2)&lt;=N($E38)),I$2,"")</f>
        <v/>
      </c>
      <c r="J38" s="25">
        <f>IF(AND(ISNUMBER($E38),N(J$2)&gt;=N($G$2),N(J$2)&lt;=N($E38)),J$2,"")</f>
        <v/>
      </c>
      <c r="K38" s="25">
        <f>IF(AND(ISNUMBER($E38),N(K$2)&gt;=N($G$2),N(K$2)&lt;=N($E38)),K$2,"")</f>
        <v/>
      </c>
      <c r="L38" s="25">
        <f>IF(AND(ISNUMBER($E38),N(L$2)&gt;=N($G$2),N(L$2)&lt;=N($E38)),L$2,"")</f>
        <v/>
      </c>
      <c r="M38" s="25">
        <f>IF(AND(ISNUMBER($E38),N(M$2)&gt;=N($G$2),N(M$2)&lt;=N($E38)),M$2,"")</f>
        <v/>
      </c>
      <c r="N38" s="25">
        <f>IF(AND(ISNUMBER($E38),N(N$2)&gt;=N($G$2),N(N$2)&lt;=N($E38)),N$2,"")</f>
        <v/>
      </c>
      <c r="O38" s="25">
        <f>IF(AND(ISNUMBER($E38),N(O$2)&gt;=N($G$2),N(O$2)&lt;=N($E38)),O$2,"")</f>
        <v/>
      </c>
      <c r="P38" s="25">
        <f>IF(AND(ISNUMBER($E38),N(P$2)&gt;=N($G$2),N(P$2)&lt;=N($E38)),P$2,"")</f>
        <v/>
      </c>
      <c r="Q38" s="25">
        <f>IF(AND(ISNUMBER($E38),N(Q$2)&gt;=N($G$2),N(Q$2)&lt;=N($E38)),Q$2,"")</f>
        <v/>
      </c>
      <c r="R38" s="25">
        <f>IF(AND(ISNUMBER($E38),N(R$2)&gt;=N($G$2),N(R$2)&lt;=N($E38)),R$2,"")</f>
        <v/>
      </c>
      <c r="S38" s="25">
        <f>IF(AND(ISNUMBER($E38),N(S$2)&gt;=N($G$2),N(S$2)&lt;=N($E38)),S$2,"")</f>
        <v/>
      </c>
      <c r="T38" s="25">
        <f>IF(AND(ISNUMBER($E38),N(T$2)&gt;=N($G$2),N(T$2)&lt;=N($E38)),T$2,"")</f>
        <v/>
      </c>
      <c r="U38" s="25">
        <f>IF(AND(ISNUMBER($E38),N(U$2)&gt;=N($G$2),N(U$2)&lt;=N($E38)),U$2,"")</f>
        <v/>
      </c>
      <c r="V38" s="25">
        <f>IF(AND(ISNUMBER($E38),N(V$2)&gt;=N($G$2),N(V$2)&lt;=N($E38)),V$2,"")</f>
        <v/>
      </c>
      <c r="W38" s="25">
        <f>IF(AND(ISNUMBER($E38),N(W$2)&gt;=N($G$2),N(W$2)&lt;=N($E38)),W$2,"")</f>
        <v/>
      </c>
      <c r="X38" s="25">
        <f>IF(AND(ISNUMBER($E38),N(X$2)&gt;=N($G$2),N(X$2)&lt;=N($E38)),X$2,"")</f>
        <v/>
      </c>
      <c r="Y38" s="25">
        <f>IF(AND(ISNUMBER($E38),N(Y$2)&gt;=N($G$2),N(Y$2)&lt;=N($E38)),Y$2,"")</f>
        <v/>
      </c>
      <c r="Z38" s="25">
        <f>IF(AND(ISNUMBER($E38),N(Z$2)&gt;=N($G$2),N(Z$2)&lt;=N($E38)),Z$2,"")</f>
        <v/>
      </c>
      <c r="AA38" s="25">
        <f>IF(AND(ISNUMBER($E38),N(AA$2)&gt;=N($G$2),N(AA$2)&lt;=N($E38)),AA$2,"")</f>
        <v/>
      </c>
      <c r="AB38" s="25">
        <f>IF(AND(ISNUMBER($E38),N(AB$2)&gt;=N($G$2),N(AB$2)&lt;=N($E38)),AB$2,"")</f>
        <v/>
      </c>
      <c r="AC38" s="25">
        <f>IF(AND(ISNUMBER($E38),N(AC$2)&gt;=N($G$2),N(AC$2)&lt;=N($E38)),AC$2,"")</f>
        <v/>
      </c>
      <c r="AD38" s="25">
        <f>IF(AND(ISNUMBER($E38),N(AD$2)&gt;=N($G$2),N(AD$2)&lt;=N($E38)),AD$2,"")</f>
        <v/>
      </c>
      <c r="AE38" s="25">
        <f>IF(AND(ISNUMBER($E38),N(AE$2)&gt;=N($G$2),N(AE$2)&lt;=N($E38)),AE$2,"")</f>
        <v/>
      </c>
      <c r="AF38" s="25">
        <f>IF(AND(ISNUMBER($E38),N(AF$2)&gt;=N($G$2),N(AF$2)&lt;=N($E38)),AF$2,"")</f>
        <v/>
      </c>
      <c r="AG38" s="25">
        <f>IF(AND(ISNUMBER($E38),N(AG$2)&gt;=N($G$2),N(AG$2)&lt;=N($E38)),AG$2,"")</f>
        <v/>
      </c>
      <c r="AH38" s="25">
        <f>IF(AND(ISNUMBER($E38),N(AH$2)&gt;=N($G$2),N(AH$2)&lt;=N($E38)),AH$2,"")</f>
        <v/>
      </c>
      <c r="AI38" s="25">
        <f>IF(AND(ISNUMBER($E38),N(AI$2)&gt;=N($G$2),N(AI$2)&lt;=N($E38)),AI$2,"")</f>
        <v/>
      </c>
      <c r="AJ38" s="25">
        <f>IF(AND(ISNUMBER($E38),N(AJ$2)&gt;=N($G$2),N(AJ$2)&lt;=N($E38)),AJ$2,"")</f>
        <v/>
      </c>
      <c r="AK38" s="25">
        <f>IF(AND(ISNUMBER($E38),N(AK$2)&gt;=N($G$2),N(AK$2)&lt;=N($E38)),AK$2,"")</f>
        <v/>
      </c>
      <c r="AL38" s="25">
        <f>IF(AND(ISNUMBER($E38),N(AL$2)&gt;=N($G$2),N(AL$2)&lt;=N($E38)),AL$2,"")</f>
        <v/>
      </c>
      <c r="AM38" s="25">
        <f>IF(AND(ISNUMBER($E38),N(AM$2)&gt;=N($G$2),N(AM$2)&lt;=N($E38)),AM$2,"")</f>
        <v/>
      </c>
      <c r="AN38" s="25">
        <f>IF(AND(ISNUMBER($E38),N(AN$2)&gt;=N($G$2),N(AN$2)&lt;=N($E38)),AN$2,"")</f>
        <v/>
      </c>
      <c r="AO38" s="25">
        <f>IF(AND(ISNUMBER($E38),N(AO$2)&gt;=N($G$2),N(AO$2)&lt;=N($E38)),AO$2,"")</f>
        <v/>
      </c>
      <c r="AP38" s="25">
        <f>IF(AND(ISNUMBER($E38),N(AP$2)&gt;=N($G$2),N(AP$2)&lt;=N($E38)),AP$2,"")</f>
        <v/>
      </c>
      <c r="AQ38" s="25">
        <f>IF(AND(ISNUMBER($E38),N(AQ$2)&gt;=N($G$2),N(AQ$2)&lt;=N($E38)),AQ$2,"")</f>
        <v/>
      </c>
      <c r="AR38" s="25">
        <f>IF(AND(ISNUMBER($E38),N(AR$2)&gt;=N($G$2),N(AR$2)&lt;=N($E38)),AR$2,"")</f>
        <v/>
      </c>
      <c r="AS38" s="25">
        <f>IF(AND(ISNUMBER($E38),N(AS$2)&gt;=N($G$2),N(AS$2)&lt;=N($E38)),AS$2,"")</f>
        <v/>
      </c>
      <c r="AT38" s="25">
        <f>IF(AND(ISNUMBER($E38),N(AT$2)&gt;=N($G$2),N(AT$2)&lt;=N($E38)),AT$2,"")</f>
        <v/>
      </c>
      <c r="AU38" s="25">
        <f>IF(AND(ISNUMBER($E38),N(AU$2)&gt;=N($G$2),N(AU$2)&lt;=N($E38)),AU$2,"")</f>
        <v/>
      </c>
      <c r="AV38" s="25">
        <f>IF(AND(ISNUMBER($E38),N(AV$2)&gt;=N($G$2),N(AV$2)&lt;=N($E38)),AV$2,"")</f>
        <v/>
      </c>
      <c r="AW38" s="25">
        <f>IF(AND(ISNUMBER($E38),N(AW$2)&gt;=N($G$2),N(AW$2)&lt;=N($E38)),AW$2,"")</f>
        <v/>
      </c>
      <c r="AX38" s="25">
        <f>IF(AND(ISNUMBER($E38),N(AX$2)&gt;=N($G$2),N(AX$2)&lt;=N($E38)),AX$2,"")</f>
        <v/>
      </c>
      <c r="AY38" s="25">
        <f>IF(AND(ISNUMBER($E38),N(AY$2)&gt;=N($G$2),N(AY$2)&lt;=N($E38)),AY$2,"")</f>
        <v/>
      </c>
      <c r="AZ38" s="25">
        <f>IF(AND(ISNUMBER($E38),N(AZ$2)&gt;=N($G$2),N(AZ$2)&lt;=N($E38)),AZ$2,"")</f>
        <v/>
      </c>
      <c r="BA38" s="25">
        <f>IF(AND(ISNUMBER($E38),N(BA$2)&gt;=N($G$2),N(BA$2)&lt;=N($E38)),BA$2,"")</f>
        <v/>
      </c>
      <c r="BB38" s="25">
        <f>IF(AND(ISNUMBER($E38),N(BB$2)&gt;=N($G$2),N(BB$2)&lt;=N($E38)),BB$2,"")</f>
        <v/>
      </c>
      <c r="BC38" s="25">
        <f>IF(AND(ISNUMBER($E38),N(BC$2)&gt;=N($G$2),N(BC$2)&lt;=N($E38)),BC$2,"")</f>
        <v/>
      </c>
      <c r="BD38" s="25">
        <f>IF(AND(ISNUMBER($E38),N(BD$2)&gt;=N($G$2),N(BD$2)&lt;=N($E38)),BD$2,"")</f>
        <v/>
      </c>
      <c r="BE38" s="25">
        <f>IF(AND(ISNUMBER($E38),N(BE$2)&gt;=N($G$2),N(BE$2)&lt;=N($E38)),BE$2,"")</f>
        <v/>
      </c>
      <c r="BF38" s="25">
        <f>IF(AND(ISNUMBER($E38),N(BF$2)&gt;=N($G$2),N(BF$2)&lt;=N($E38)),BF$2,"")</f>
        <v/>
      </c>
      <c r="BG38" s="25">
        <f>IF(AND(ISNUMBER($E38),N(BG$2)&gt;=N($G$2),N(BG$2)&lt;=N($E38)),BG$2,"")</f>
        <v/>
      </c>
      <c r="BH38" s="25">
        <f>IF(AND(ISNUMBER($E38),N(BH$2)&gt;=N($G$2),N(BH$2)&lt;=N($E38)),BH$2,"")</f>
        <v/>
      </c>
      <c r="BI38" s="25">
        <f>IF(AND(ISNUMBER($E38),N(BI$2)&gt;=N($G$2),N(BI$2)&lt;=N($E38)),BI$2,"")</f>
        <v/>
      </c>
      <c r="BJ38" s="25">
        <f>IF(AND(ISNUMBER($E38),N(BJ$2)&gt;=N($G$2),N(BJ$2)&lt;=N($E38)),BJ$2,"")</f>
        <v/>
      </c>
      <c r="BK38" s="25">
        <f>IF(AND(ISNUMBER($E38),N(BK$2)&gt;=N($G$2),N(BK$2)&lt;=N($E38)),BK$2,"")</f>
        <v/>
      </c>
      <c r="BL38" s="25">
        <f>IF(AND(ISNUMBER($E38),N(BL$2)&gt;=N($G$2),N(BL$2)&lt;=N($E38)),BL$2,"")</f>
        <v/>
      </c>
      <c r="BM38" s="25">
        <f>IF(AND(ISNUMBER($E38),N(BM$2)&gt;=N($G$2),N(BM$2)&lt;=N($E38)),BM$2,"")</f>
        <v/>
      </c>
      <c r="BN38" s="25">
        <f>IF(AND(ISNUMBER($E38),N(BN$2)&gt;=N($G$2),N(BN$2)&lt;=N($E38)),BN$2,"")</f>
        <v/>
      </c>
      <c r="BO38" s="25">
        <f>IF(AND(ISNUMBER($E38),N(BO$2)&gt;=N($G$2),N(BO$2)&lt;=N($E38)),BO$2,"")</f>
        <v/>
      </c>
    </row>
    <row r="39" ht="20" customHeight="1">
      <c r="A39" s="21" t="inlineStr">
        <is>
          <t>预估</t>
        </is>
      </c>
      <c r="B39" s="21" t="inlineStr">
        <is>
          <t>第一期</t>
        </is>
      </c>
      <c r="C39" s="22" t="inlineStr">
        <is>
          <t>PAB115·工装图纸绘制</t>
        </is>
      </c>
      <c r="D39" s="23">
        <f>'时间节点计划表'!E20</f>
        <v/>
      </c>
      <c r="E39" s="23">
        <f>IF(COUNT('时间节点计划表'!F20),'时间节点计划表'!F20,"")</f>
        <v/>
      </c>
      <c r="F39" s="24" t="inlineStr"/>
      <c r="G39" s="25">
        <f>IF(AND(ISNUMBER($D39),N(G$2)&gt;=N($G$2),N(G$2)&lt;=N($D39)),G$2,"")</f>
        <v/>
      </c>
      <c r="H39" s="25">
        <f>IF(AND(ISNUMBER($D39),N(H$2)&gt;=N($G$2),N(H$2)&lt;=N($D39)),H$2,"")</f>
        <v/>
      </c>
      <c r="I39" s="25">
        <f>IF(AND(ISNUMBER($D39),N(I$2)&gt;=N($G$2),N(I$2)&lt;=N($D39)),I$2,"")</f>
        <v/>
      </c>
      <c r="J39" s="25">
        <f>IF(AND(ISNUMBER($D39),N(J$2)&gt;=N($G$2),N(J$2)&lt;=N($D39)),J$2,"")</f>
        <v/>
      </c>
      <c r="K39" s="25">
        <f>IF(AND(ISNUMBER($D39),N(K$2)&gt;=N($G$2),N(K$2)&lt;=N($D39)),K$2,"")</f>
        <v/>
      </c>
      <c r="L39" s="25">
        <f>IF(AND(ISNUMBER($D39),N(L$2)&gt;=N($G$2),N(L$2)&lt;=N($D39)),L$2,"")</f>
        <v/>
      </c>
      <c r="M39" s="25">
        <f>IF(AND(ISNUMBER($D39),N(M$2)&gt;=N($G$2),N(M$2)&lt;=N($D39)),M$2,"")</f>
        <v/>
      </c>
      <c r="N39" s="25">
        <f>IF(AND(ISNUMBER($D39),N(N$2)&gt;=N($G$2),N(N$2)&lt;=N($D39)),N$2,"")</f>
        <v/>
      </c>
      <c r="O39" s="25">
        <f>IF(AND(ISNUMBER($D39),N(O$2)&gt;=N($G$2),N(O$2)&lt;=N($D39)),O$2,"")</f>
        <v/>
      </c>
      <c r="P39" s="25">
        <f>IF(AND(ISNUMBER($D39),N(P$2)&gt;=N($G$2),N(P$2)&lt;=N($D39)),P$2,"")</f>
        <v/>
      </c>
      <c r="Q39" s="25">
        <f>IF(AND(ISNUMBER($D39),N(Q$2)&gt;=N($G$2),N(Q$2)&lt;=N($D39)),Q$2,"")</f>
        <v/>
      </c>
      <c r="R39" s="25">
        <f>IF(AND(ISNUMBER($D39),N(R$2)&gt;=N($G$2),N(R$2)&lt;=N($D39)),R$2,"")</f>
        <v/>
      </c>
      <c r="S39" s="25">
        <f>IF(AND(ISNUMBER($D39),N(S$2)&gt;=N($G$2),N(S$2)&lt;=N($D39)),S$2,"")</f>
        <v/>
      </c>
      <c r="T39" s="25">
        <f>IF(AND(ISNUMBER($D39),N(T$2)&gt;=N($G$2),N(T$2)&lt;=N($D39)),T$2,"")</f>
        <v/>
      </c>
      <c r="U39" s="25">
        <f>IF(AND(ISNUMBER($D39),N(U$2)&gt;=N($G$2),N(U$2)&lt;=N($D39)),U$2,"")</f>
        <v/>
      </c>
      <c r="V39" s="25">
        <f>IF(AND(ISNUMBER($D39),N(V$2)&gt;=N($G$2),N(V$2)&lt;=N($D39)),V$2,"")</f>
        <v/>
      </c>
      <c r="W39" s="25">
        <f>IF(AND(ISNUMBER($D39),N(W$2)&gt;=N($G$2),N(W$2)&lt;=N($D39)),W$2,"")</f>
        <v/>
      </c>
      <c r="X39" s="25">
        <f>IF(AND(ISNUMBER($D39),N(X$2)&gt;=N($G$2),N(X$2)&lt;=N($D39)),X$2,"")</f>
        <v/>
      </c>
      <c r="Y39" s="25">
        <f>IF(AND(ISNUMBER($D39),N(Y$2)&gt;=N($G$2),N(Y$2)&lt;=N($D39)),Y$2,"")</f>
        <v/>
      </c>
      <c r="Z39" s="25">
        <f>IF(AND(ISNUMBER($D39),N(Z$2)&gt;=N($G$2),N(Z$2)&lt;=N($D39)),Z$2,"")</f>
        <v/>
      </c>
      <c r="AA39" s="25">
        <f>IF(AND(ISNUMBER($D39),N(AA$2)&gt;=N($G$2),N(AA$2)&lt;=N($D39)),AA$2,"")</f>
        <v/>
      </c>
      <c r="AB39" s="25">
        <f>IF(AND(ISNUMBER($D39),N(AB$2)&gt;=N($G$2),N(AB$2)&lt;=N($D39)),AB$2,"")</f>
        <v/>
      </c>
      <c r="AC39" s="25">
        <f>IF(AND(ISNUMBER($D39),N(AC$2)&gt;=N($G$2),N(AC$2)&lt;=N($D39)),AC$2,"")</f>
        <v/>
      </c>
      <c r="AD39" s="25">
        <f>IF(AND(ISNUMBER($D39),N(AD$2)&gt;=N($G$2),N(AD$2)&lt;=N($D39)),AD$2,"")</f>
        <v/>
      </c>
      <c r="AE39" s="25">
        <f>IF(AND(ISNUMBER($D39),N(AE$2)&gt;=N($G$2),N(AE$2)&lt;=N($D39)),AE$2,"")</f>
        <v/>
      </c>
      <c r="AF39" s="25">
        <f>IF(AND(ISNUMBER($D39),N(AF$2)&gt;=N($G$2),N(AF$2)&lt;=N($D39)),AF$2,"")</f>
        <v/>
      </c>
      <c r="AG39" s="25">
        <f>IF(AND(ISNUMBER($D39),N(AG$2)&gt;=N($G$2),N(AG$2)&lt;=N($D39)),AG$2,"")</f>
        <v/>
      </c>
      <c r="AH39" s="25">
        <f>IF(AND(ISNUMBER($D39),N(AH$2)&gt;=N($G$2),N(AH$2)&lt;=N($D39)),AH$2,"")</f>
        <v/>
      </c>
      <c r="AI39" s="25">
        <f>IF(AND(ISNUMBER($D39),N(AI$2)&gt;=N($G$2),N(AI$2)&lt;=N($D39)),AI$2,"")</f>
        <v/>
      </c>
      <c r="AJ39" s="25">
        <f>IF(AND(ISNUMBER($D39),N(AJ$2)&gt;=N($G$2),N(AJ$2)&lt;=N($D39)),AJ$2,"")</f>
        <v/>
      </c>
      <c r="AK39" s="25">
        <f>IF(AND(ISNUMBER($D39),N(AK$2)&gt;=N($G$2),N(AK$2)&lt;=N($D39)),AK$2,"")</f>
        <v/>
      </c>
      <c r="AL39" s="25">
        <f>IF(AND(ISNUMBER($D39),N(AL$2)&gt;=N($G$2),N(AL$2)&lt;=N($D39)),AL$2,"")</f>
        <v/>
      </c>
      <c r="AM39" s="25">
        <f>IF(AND(ISNUMBER($D39),N(AM$2)&gt;=N($G$2),N(AM$2)&lt;=N($D39)),AM$2,"")</f>
        <v/>
      </c>
      <c r="AN39" s="25">
        <f>IF(AND(ISNUMBER($D39),N(AN$2)&gt;=N($G$2),N(AN$2)&lt;=N($D39)),AN$2,"")</f>
        <v/>
      </c>
      <c r="AO39" s="25">
        <f>IF(AND(ISNUMBER($D39),N(AO$2)&gt;=N($G$2),N(AO$2)&lt;=N($D39)),AO$2,"")</f>
        <v/>
      </c>
      <c r="AP39" s="25">
        <f>IF(AND(ISNUMBER($D39),N(AP$2)&gt;=N($G$2),N(AP$2)&lt;=N($D39)),AP$2,"")</f>
        <v/>
      </c>
      <c r="AQ39" s="25">
        <f>IF(AND(ISNUMBER($D39),N(AQ$2)&gt;=N($G$2),N(AQ$2)&lt;=N($D39)),AQ$2,"")</f>
        <v/>
      </c>
      <c r="AR39" s="25">
        <f>IF(AND(ISNUMBER($D39),N(AR$2)&gt;=N($G$2),N(AR$2)&lt;=N($D39)),AR$2,"")</f>
        <v/>
      </c>
      <c r="AS39" s="25">
        <f>IF(AND(ISNUMBER($D39),N(AS$2)&gt;=N($G$2),N(AS$2)&lt;=N($D39)),AS$2,"")</f>
        <v/>
      </c>
      <c r="AT39" s="25">
        <f>IF(AND(ISNUMBER($D39),N(AT$2)&gt;=N($G$2),N(AT$2)&lt;=N($D39)),AT$2,"")</f>
        <v/>
      </c>
      <c r="AU39" s="25">
        <f>IF(AND(ISNUMBER($D39),N(AU$2)&gt;=N($G$2),N(AU$2)&lt;=N($D39)),AU$2,"")</f>
        <v/>
      </c>
      <c r="AV39" s="25">
        <f>IF(AND(ISNUMBER($D39),N(AV$2)&gt;=N($G$2),N(AV$2)&lt;=N($D39)),AV$2,"")</f>
        <v/>
      </c>
      <c r="AW39" s="25">
        <f>IF(AND(ISNUMBER($D39),N(AW$2)&gt;=N($G$2),N(AW$2)&lt;=N($D39)),AW$2,"")</f>
        <v/>
      </c>
      <c r="AX39" s="25">
        <f>IF(AND(ISNUMBER($D39),N(AX$2)&gt;=N($G$2),N(AX$2)&lt;=N($D39)),AX$2,"")</f>
        <v/>
      </c>
      <c r="AY39" s="25">
        <f>IF(AND(ISNUMBER($D39),N(AY$2)&gt;=N($G$2),N(AY$2)&lt;=N($D39)),AY$2,"")</f>
        <v/>
      </c>
      <c r="AZ39" s="25">
        <f>IF(AND(ISNUMBER($D39),N(AZ$2)&gt;=N($G$2),N(AZ$2)&lt;=N($D39)),AZ$2,"")</f>
        <v/>
      </c>
      <c r="BA39" s="25">
        <f>IF(AND(ISNUMBER($D39),N(BA$2)&gt;=N($G$2),N(BA$2)&lt;=N($D39)),BA$2,"")</f>
        <v/>
      </c>
      <c r="BB39" s="25">
        <f>IF(AND(ISNUMBER($D39),N(BB$2)&gt;=N($G$2),N(BB$2)&lt;=N($D39)),BB$2,"")</f>
        <v/>
      </c>
      <c r="BC39" s="25">
        <f>IF(AND(ISNUMBER($D39),N(BC$2)&gt;=N($G$2),N(BC$2)&lt;=N($D39)),BC$2,"")</f>
        <v/>
      </c>
      <c r="BD39" s="25">
        <f>IF(AND(ISNUMBER($D39),N(BD$2)&gt;=N($G$2),N(BD$2)&lt;=N($D39)),BD$2,"")</f>
        <v/>
      </c>
      <c r="BE39" s="25">
        <f>IF(AND(ISNUMBER($D39),N(BE$2)&gt;=N($G$2),N(BE$2)&lt;=N($D39)),BE$2,"")</f>
        <v/>
      </c>
      <c r="BF39" s="25">
        <f>IF(AND(ISNUMBER($D39),N(BF$2)&gt;=N($G$2),N(BF$2)&lt;=N($D39)),BF$2,"")</f>
        <v/>
      </c>
      <c r="BG39" s="25">
        <f>IF(AND(ISNUMBER($D39),N(BG$2)&gt;=N($G$2),N(BG$2)&lt;=N($D39)),BG$2,"")</f>
        <v/>
      </c>
      <c r="BH39" s="25">
        <f>IF(AND(ISNUMBER($D39),N(BH$2)&gt;=N($G$2),N(BH$2)&lt;=N($D39)),BH$2,"")</f>
        <v/>
      </c>
      <c r="BI39" s="25">
        <f>IF(AND(ISNUMBER($D39),N(BI$2)&gt;=N($G$2),N(BI$2)&lt;=N($D39)),BI$2,"")</f>
        <v/>
      </c>
      <c r="BJ39" s="25">
        <f>IF(AND(ISNUMBER($D39),N(BJ$2)&gt;=N($G$2),N(BJ$2)&lt;=N($D39)),BJ$2,"")</f>
        <v/>
      </c>
      <c r="BK39" s="25">
        <f>IF(AND(ISNUMBER($D39),N(BK$2)&gt;=N($G$2),N(BK$2)&lt;=N($D39)),BK$2,"")</f>
        <v/>
      </c>
      <c r="BL39" s="25">
        <f>IF(AND(ISNUMBER($D39),N(BL$2)&gt;=N($G$2),N(BL$2)&lt;=N($D39)),BL$2,"")</f>
        <v/>
      </c>
      <c r="BM39" s="25">
        <f>IF(AND(ISNUMBER($D39),N(BM$2)&gt;=N($G$2),N(BM$2)&lt;=N($D39)),BM$2,"")</f>
        <v/>
      </c>
      <c r="BN39" s="25">
        <f>IF(AND(ISNUMBER($D39),N(BN$2)&gt;=N($G$2),N(BN$2)&lt;=N($D39)),BN$2,"")</f>
        <v/>
      </c>
      <c r="BO39" s="25">
        <f>IF(AND(ISNUMBER($D39),N(BO$2)&gt;=N($G$2),N(BO$2)&lt;=N($D39)),BO$2,"")</f>
        <v/>
      </c>
    </row>
    <row r="40" ht="20" customHeight="1">
      <c r="A40" s="26" t="inlineStr">
        <is>
          <t>实际</t>
        </is>
      </c>
      <c r="B40" s="26" t="inlineStr">
        <is>
          <t>第一期</t>
        </is>
      </c>
      <c r="C40" s="27" t="inlineStr">
        <is>
          <t>PAB115·工装图纸绘制</t>
        </is>
      </c>
      <c r="D40" s="28">
        <f>'时间节点计划表'!E20</f>
        <v/>
      </c>
      <c r="E40" s="28">
        <f>IF(COUNT('时间节点计划表'!F20),'时间节点计划表'!F20,"")</f>
        <v/>
      </c>
      <c r="F40" s="29">
        <f>IF(OR(D40="",E40=""),"待填",E40-D40)</f>
        <v/>
      </c>
      <c r="G40" s="25">
        <f>IF(AND(ISNUMBER($E40),N(G$2)&gt;=N($G$2),N(G$2)&lt;=N($E40)),G$2,"")</f>
        <v/>
      </c>
      <c r="H40" s="25">
        <f>IF(AND(ISNUMBER($E40),N(H$2)&gt;=N($G$2),N(H$2)&lt;=N($E40)),H$2,"")</f>
        <v/>
      </c>
      <c r="I40" s="25">
        <f>IF(AND(ISNUMBER($E40),N(I$2)&gt;=N($G$2),N(I$2)&lt;=N($E40)),I$2,"")</f>
        <v/>
      </c>
      <c r="J40" s="25">
        <f>IF(AND(ISNUMBER($E40),N(J$2)&gt;=N($G$2),N(J$2)&lt;=N($E40)),J$2,"")</f>
        <v/>
      </c>
      <c r="K40" s="25">
        <f>IF(AND(ISNUMBER($E40),N(K$2)&gt;=N($G$2),N(K$2)&lt;=N($E40)),K$2,"")</f>
        <v/>
      </c>
      <c r="L40" s="25">
        <f>IF(AND(ISNUMBER($E40),N(L$2)&gt;=N($G$2),N(L$2)&lt;=N($E40)),L$2,"")</f>
        <v/>
      </c>
      <c r="M40" s="25">
        <f>IF(AND(ISNUMBER($E40),N(M$2)&gt;=N($G$2),N(M$2)&lt;=N($E40)),M$2,"")</f>
        <v/>
      </c>
      <c r="N40" s="25">
        <f>IF(AND(ISNUMBER($E40),N(N$2)&gt;=N($G$2),N(N$2)&lt;=N($E40)),N$2,"")</f>
        <v/>
      </c>
      <c r="O40" s="25">
        <f>IF(AND(ISNUMBER($E40),N(O$2)&gt;=N($G$2),N(O$2)&lt;=N($E40)),O$2,"")</f>
        <v/>
      </c>
      <c r="P40" s="25">
        <f>IF(AND(ISNUMBER($E40),N(P$2)&gt;=N($G$2),N(P$2)&lt;=N($E40)),P$2,"")</f>
        <v/>
      </c>
      <c r="Q40" s="25">
        <f>IF(AND(ISNUMBER($E40),N(Q$2)&gt;=N($G$2),N(Q$2)&lt;=N($E40)),Q$2,"")</f>
        <v/>
      </c>
      <c r="R40" s="25">
        <f>IF(AND(ISNUMBER($E40),N(R$2)&gt;=N($G$2),N(R$2)&lt;=N($E40)),R$2,"")</f>
        <v/>
      </c>
      <c r="S40" s="25">
        <f>IF(AND(ISNUMBER($E40),N(S$2)&gt;=N($G$2),N(S$2)&lt;=N($E40)),S$2,"")</f>
        <v/>
      </c>
      <c r="T40" s="25">
        <f>IF(AND(ISNUMBER($E40),N(T$2)&gt;=N($G$2),N(T$2)&lt;=N($E40)),T$2,"")</f>
        <v/>
      </c>
      <c r="U40" s="25">
        <f>IF(AND(ISNUMBER($E40),N(U$2)&gt;=N($G$2),N(U$2)&lt;=N($E40)),U$2,"")</f>
        <v/>
      </c>
      <c r="V40" s="25">
        <f>IF(AND(ISNUMBER($E40),N(V$2)&gt;=N($G$2),N(V$2)&lt;=N($E40)),V$2,"")</f>
        <v/>
      </c>
      <c r="W40" s="25">
        <f>IF(AND(ISNUMBER($E40),N(W$2)&gt;=N($G$2),N(W$2)&lt;=N($E40)),W$2,"")</f>
        <v/>
      </c>
      <c r="X40" s="25">
        <f>IF(AND(ISNUMBER($E40),N(X$2)&gt;=N($G$2),N(X$2)&lt;=N($E40)),X$2,"")</f>
        <v/>
      </c>
      <c r="Y40" s="25">
        <f>IF(AND(ISNUMBER($E40),N(Y$2)&gt;=N($G$2),N(Y$2)&lt;=N($E40)),Y$2,"")</f>
        <v/>
      </c>
      <c r="Z40" s="25">
        <f>IF(AND(ISNUMBER($E40),N(Z$2)&gt;=N($G$2),N(Z$2)&lt;=N($E40)),Z$2,"")</f>
        <v/>
      </c>
      <c r="AA40" s="25">
        <f>IF(AND(ISNUMBER($E40),N(AA$2)&gt;=N($G$2),N(AA$2)&lt;=N($E40)),AA$2,"")</f>
        <v/>
      </c>
      <c r="AB40" s="25">
        <f>IF(AND(ISNUMBER($E40),N(AB$2)&gt;=N($G$2),N(AB$2)&lt;=N($E40)),AB$2,"")</f>
        <v/>
      </c>
      <c r="AC40" s="25">
        <f>IF(AND(ISNUMBER($E40),N(AC$2)&gt;=N($G$2),N(AC$2)&lt;=N($E40)),AC$2,"")</f>
        <v/>
      </c>
      <c r="AD40" s="25">
        <f>IF(AND(ISNUMBER($E40),N(AD$2)&gt;=N($G$2),N(AD$2)&lt;=N($E40)),AD$2,"")</f>
        <v/>
      </c>
      <c r="AE40" s="25">
        <f>IF(AND(ISNUMBER($E40),N(AE$2)&gt;=N($G$2),N(AE$2)&lt;=N($E40)),AE$2,"")</f>
        <v/>
      </c>
      <c r="AF40" s="25">
        <f>IF(AND(ISNUMBER($E40),N(AF$2)&gt;=N($G$2),N(AF$2)&lt;=N($E40)),AF$2,"")</f>
        <v/>
      </c>
      <c r="AG40" s="25">
        <f>IF(AND(ISNUMBER($E40),N(AG$2)&gt;=N($G$2),N(AG$2)&lt;=N($E40)),AG$2,"")</f>
        <v/>
      </c>
      <c r="AH40" s="25">
        <f>IF(AND(ISNUMBER($E40),N(AH$2)&gt;=N($G$2),N(AH$2)&lt;=N($E40)),AH$2,"")</f>
        <v/>
      </c>
      <c r="AI40" s="25">
        <f>IF(AND(ISNUMBER($E40),N(AI$2)&gt;=N($G$2),N(AI$2)&lt;=N($E40)),AI$2,"")</f>
        <v/>
      </c>
      <c r="AJ40" s="25">
        <f>IF(AND(ISNUMBER($E40),N(AJ$2)&gt;=N($G$2),N(AJ$2)&lt;=N($E40)),AJ$2,"")</f>
        <v/>
      </c>
      <c r="AK40" s="25">
        <f>IF(AND(ISNUMBER($E40),N(AK$2)&gt;=N($G$2),N(AK$2)&lt;=N($E40)),AK$2,"")</f>
        <v/>
      </c>
      <c r="AL40" s="25">
        <f>IF(AND(ISNUMBER($E40),N(AL$2)&gt;=N($G$2),N(AL$2)&lt;=N($E40)),AL$2,"")</f>
        <v/>
      </c>
      <c r="AM40" s="25">
        <f>IF(AND(ISNUMBER($E40),N(AM$2)&gt;=N($G$2),N(AM$2)&lt;=N($E40)),AM$2,"")</f>
        <v/>
      </c>
      <c r="AN40" s="25">
        <f>IF(AND(ISNUMBER($E40),N(AN$2)&gt;=N($G$2),N(AN$2)&lt;=N($E40)),AN$2,"")</f>
        <v/>
      </c>
      <c r="AO40" s="25">
        <f>IF(AND(ISNUMBER($E40),N(AO$2)&gt;=N($G$2),N(AO$2)&lt;=N($E40)),AO$2,"")</f>
        <v/>
      </c>
      <c r="AP40" s="25">
        <f>IF(AND(ISNUMBER($E40),N(AP$2)&gt;=N($G$2),N(AP$2)&lt;=N($E40)),AP$2,"")</f>
        <v/>
      </c>
      <c r="AQ40" s="25">
        <f>IF(AND(ISNUMBER($E40),N(AQ$2)&gt;=N($G$2),N(AQ$2)&lt;=N($E40)),AQ$2,"")</f>
        <v/>
      </c>
      <c r="AR40" s="25">
        <f>IF(AND(ISNUMBER($E40),N(AR$2)&gt;=N($G$2),N(AR$2)&lt;=N($E40)),AR$2,"")</f>
        <v/>
      </c>
      <c r="AS40" s="25">
        <f>IF(AND(ISNUMBER($E40),N(AS$2)&gt;=N($G$2),N(AS$2)&lt;=N($E40)),AS$2,"")</f>
        <v/>
      </c>
      <c r="AT40" s="25">
        <f>IF(AND(ISNUMBER($E40),N(AT$2)&gt;=N($G$2),N(AT$2)&lt;=N($E40)),AT$2,"")</f>
        <v/>
      </c>
      <c r="AU40" s="25">
        <f>IF(AND(ISNUMBER($E40),N(AU$2)&gt;=N($G$2),N(AU$2)&lt;=N($E40)),AU$2,"")</f>
        <v/>
      </c>
      <c r="AV40" s="25">
        <f>IF(AND(ISNUMBER($E40),N(AV$2)&gt;=N($G$2),N(AV$2)&lt;=N($E40)),AV$2,"")</f>
        <v/>
      </c>
      <c r="AW40" s="25">
        <f>IF(AND(ISNUMBER($E40),N(AW$2)&gt;=N($G$2),N(AW$2)&lt;=N($E40)),AW$2,"")</f>
        <v/>
      </c>
      <c r="AX40" s="25">
        <f>IF(AND(ISNUMBER($E40),N(AX$2)&gt;=N($G$2),N(AX$2)&lt;=N($E40)),AX$2,"")</f>
        <v/>
      </c>
      <c r="AY40" s="25">
        <f>IF(AND(ISNUMBER($E40),N(AY$2)&gt;=N($G$2),N(AY$2)&lt;=N($E40)),AY$2,"")</f>
        <v/>
      </c>
      <c r="AZ40" s="25">
        <f>IF(AND(ISNUMBER($E40),N(AZ$2)&gt;=N($G$2),N(AZ$2)&lt;=N($E40)),AZ$2,"")</f>
        <v/>
      </c>
      <c r="BA40" s="25">
        <f>IF(AND(ISNUMBER($E40),N(BA$2)&gt;=N($G$2),N(BA$2)&lt;=N($E40)),BA$2,"")</f>
        <v/>
      </c>
      <c r="BB40" s="25">
        <f>IF(AND(ISNUMBER($E40),N(BB$2)&gt;=N($G$2),N(BB$2)&lt;=N($E40)),BB$2,"")</f>
        <v/>
      </c>
      <c r="BC40" s="25">
        <f>IF(AND(ISNUMBER($E40),N(BC$2)&gt;=N($G$2),N(BC$2)&lt;=N($E40)),BC$2,"")</f>
        <v/>
      </c>
      <c r="BD40" s="25">
        <f>IF(AND(ISNUMBER($E40),N(BD$2)&gt;=N($G$2),N(BD$2)&lt;=N($E40)),BD$2,"")</f>
        <v/>
      </c>
      <c r="BE40" s="25">
        <f>IF(AND(ISNUMBER($E40),N(BE$2)&gt;=N($G$2),N(BE$2)&lt;=N($E40)),BE$2,"")</f>
        <v/>
      </c>
      <c r="BF40" s="25">
        <f>IF(AND(ISNUMBER($E40),N(BF$2)&gt;=N($G$2),N(BF$2)&lt;=N($E40)),BF$2,"")</f>
        <v/>
      </c>
      <c r="BG40" s="25">
        <f>IF(AND(ISNUMBER($E40),N(BG$2)&gt;=N($G$2),N(BG$2)&lt;=N($E40)),BG$2,"")</f>
        <v/>
      </c>
      <c r="BH40" s="25">
        <f>IF(AND(ISNUMBER($E40),N(BH$2)&gt;=N($G$2),N(BH$2)&lt;=N($E40)),BH$2,"")</f>
        <v/>
      </c>
      <c r="BI40" s="25">
        <f>IF(AND(ISNUMBER($E40),N(BI$2)&gt;=N($G$2),N(BI$2)&lt;=N($E40)),BI$2,"")</f>
        <v/>
      </c>
      <c r="BJ40" s="25">
        <f>IF(AND(ISNUMBER($E40),N(BJ$2)&gt;=N($G$2),N(BJ$2)&lt;=N($E40)),BJ$2,"")</f>
        <v/>
      </c>
      <c r="BK40" s="25">
        <f>IF(AND(ISNUMBER($E40),N(BK$2)&gt;=N($G$2),N(BK$2)&lt;=N($E40)),BK$2,"")</f>
        <v/>
      </c>
      <c r="BL40" s="25">
        <f>IF(AND(ISNUMBER($E40),N(BL$2)&gt;=N($G$2),N(BL$2)&lt;=N($E40)),BL$2,"")</f>
        <v/>
      </c>
      <c r="BM40" s="25">
        <f>IF(AND(ISNUMBER($E40),N(BM$2)&gt;=N($G$2),N(BM$2)&lt;=N($E40)),BM$2,"")</f>
        <v/>
      </c>
      <c r="BN40" s="25">
        <f>IF(AND(ISNUMBER($E40),N(BN$2)&gt;=N($G$2),N(BN$2)&lt;=N($E40)),BN$2,"")</f>
        <v/>
      </c>
      <c r="BO40" s="25">
        <f>IF(AND(ISNUMBER($E40),N(BO$2)&gt;=N($G$2),N(BO$2)&lt;=N($E40)),BO$2,"")</f>
        <v/>
      </c>
    </row>
    <row r="41" ht="20" customHeight="1">
      <c r="A41" s="21" t="inlineStr">
        <is>
          <t>预估</t>
        </is>
      </c>
      <c r="B41" s="21" t="inlineStr">
        <is>
          <t>第一期</t>
        </is>
      </c>
      <c r="C41" s="22" t="inlineStr">
        <is>
          <t>PAB115·工装实物到位</t>
        </is>
      </c>
      <c r="D41" s="23">
        <f>'时间节点计划表'!E21</f>
        <v/>
      </c>
      <c r="E41" s="23">
        <f>IF(COUNT('时间节点计划表'!F21),'时间节点计划表'!F21,"")</f>
        <v/>
      </c>
      <c r="F41" s="24" t="inlineStr"/>
      <c r="G41" s="25">
        <f>IF(AND(ISNUMBER($D41),N(G$2)&gt;=N($G$2),N(G$2)&lt;=N($D41)),G$2,"")</f>
        <v/>
      </c>
      <c r="H41" s="25">
        <f>IF(AND(ISNUMBER($D41),N(H$2)&gt;=N($G$2),N(H$2)&lt;=N($D41)),H$2,"")</f>
        <v/>
      </c>
      <c r="I41" s="25">
        <f>IF(AND(ISNUMBER($D41),N(I$2)&gt;=N($G$2),N(I$2)&lt;=N($D41)),I$2,"")</f>
        <v/>
      </c>
      <c r="J41" s="25">
        <f>IF(AND(ISNUMBER($D41),N(J$2)&gt;=N($G$2),N(J$2)&lt;=N($D41)),J$2,"")</f>
        <v/>
      </c>
      <c r="K41" s="25">
        <f>IF(AND(ISNUMBER($D41),N(K$2)&gt;=N($G$2),N(K$2)&lt;=N($D41)),K$2,"")</f>
        <v/>
      </c>
      <c r="L41" s="25">
        <f>IF(AND(ISNUMBER($D41),N(L$2)&gt;=N($G$2),N(L$2)&lt;=N($D41)),L$2,"")</f>
        <v/>
      </c>
      <c r="M41" s="25">
        <f>IF(AND(ISNUMBER($D41),N(M$2)&gt;=N($G$2),N(M$2)&lt;=N($D41)),M$2,"")</f>
        <v/>
      </c>
      <c r="N41" s="25">
        <f>IF(AND(ISNUMBER($D41),N(N$2)&gt;=N($G$2),N(N$2)&lt;=N($D41)),N$2,"")</f>
        <v/>
      </c>
      <c r="O41" s="25">
        <f>IF(AND(ISNUMBER($D41),N(O$2)&gt;=N($G$2),N(O$2)&lt;=N($D41)),O$2,"")</f>
        <v/>
      </c>
      <c r="P41" s="25">
        <f>IF(AND(ISNUMBER($D41),N(P$2)&gt;=N($G$2),N(P$2)&lt;=N($D41)),P$2,"")</f>
        <v/>
      </c>
      <c r="Q41" s="25">
        <f>IF(AND(ISNUMBER($D41),N(Q$2)&gt;=N($G$2),N(Q$2)&lt;=N($D41)),Q$2,"")</f>
        <v/>
      </c>
      <c r="R41" s="25">
        <f>IF(AND(ISNUMBER($D41),N(R$2)&gt;=N($G$2),N(R$2)&lt;=N($D41)),R$2,"")</f>
        <v/>
      </c>
      <c r="S41" s="25">
        <f>IF(AND(ISNUMBER($D41),N(S$2)&gt;=N($G$2),N(S$2)&lt;=N($D41)),S$2,"")</f>
        <v/>
      </c>
      <c r="T41" s="25">
        <f>IF(AND(ISNUMBER($D41),N(T$2)&gt;=N($G$2),N(T$2)&lt;=N($D41)),T$2,"")</f>
        <v/>
      </c>
      <c r="U41" s="25">
        <f>IF(AND(ISNUMBER($D41),N(U$2)&gt;=N($G$2),N(U$2)&lt;=N($D41)),U$2,"")</f>
        <v/>
      </c>
      <c r="V41" s="25">
        <f>IF(AND(ISNUMBER($D41),N(V$2)&gt;=N($G$2),N(V$2)&lt;=N($D41)),V$2,"")</f>
        <v/>
      </c>
      <c r="W41" s="25">
        <f>IF(AND(ISNUMBER($D41),N(W$2)&gt;=N($G$2),N(W$2)&lt;=N($D41)),W$2,"")</f>
        <v/>
      </c>
      <c r="X41" s="25">
        <f>IF(AND(ISNUMBER($D41),N(X$2)&gt;=N($G$2),N(X$2)&lt;=N($D41)),X$2,"")</f>
        <v/>
      </c>
      <c r="Y41" s="25">
        <f>IF(AND(ISNUMBER($D41),N(Y$2)&gt;=N($G$2),N(Y$2)&lt;=N($D41)),Y$2,"")</f>
        <v/>
      </c>
      <c r="Z41" s="25">
        <f>IF(AND(ISNUMBER($D41),N(Z$2)&gt;=N($G$2),N(Z$2)&lt;=N($D41)),Z$2,"")</f>
        <v/>
      </c>
      <c r="AA41" s="25">
        <f>IF(AND(ISNUMBER($D41),N(AA$2)&gt;=N($G$2),N(AA$2)&lt;=N($D41)),AA$2,"")</f>
        <v/>
      </c>
      <c r="AB41" s="25">
        <f>IF(AND(ISNUMBER($D41),N(AB$2)&gt;=N($G$2),N(AB$2)&lt;=N($D41)),AB$2,"")</f>
        <v/>
      </c>
      <c r="AC41" s="25">
        <f>IF(AND(ISNUMBER($D41),N(AC$2)&gt;=N($G$2),N(AC$2)&lt;=N($D41)),AC$2,"")</f>
        <v/>
      </c>
      <c r="AD41" s="25">
        <f>IF(AND(ISNUMBER($D41),N(AD$2)&gt;=N($G$2),N(AD$2)&lt;=N($D41)),AD$2,"")</f>
        <v/>
      </c>
      <c r="AE41" s="25">
        <f>IF(AND(ISNUMBER($D41),N(AE$2)&gt;=N($G$2),N(AE$2)&lt;=N($D41)),AE$2,"")</f>
        <v/>
      </c>
      <c r="AF41" s="25">
        <f>IF(AND(ISNUMBER($D41),N(AF$2)&gt;=N($G$2),N(AF$2)&lt;=N($D41)),AF$2,"")</f>
        <v/>
      </c>
      <c r="AG41" s="25">
        <f>IF(AND(ISNUMBER($D41),N(AG$2)&gt;=N($G$2),N(AG$2)&lt;=N($D41)),AG$2,"")</f>
        <v/>
      </c>
      <c r="AH41" s="25">
        <f>IF(AND(ISNUMBER($D41),N(AH$2)&gt;=N($G$2),N(AH$2)&lt;=N($D41)),AH$2,"")</f>
        <v/>
      </c>
      <c r="AI41" s="25">
        <f>IF(AND(ISNUMBER($D41),N(AI$2)&gt;=N($G$2),N(AI$2)&lt;=N($D41)),AI$2,"")</f>
        <v/>
      </c>
      <c r="AJ41" s="25">
        <f>IF(AND(ISNUMBER($D41),N(AJ$2)&gt;=N($G$2),N(AJ$2)&lt;=N($D41)),AJ$2,"")</f>
        <v/>
      </c>
      <c r="AK41" s="25">
        <f>IF(AND(ISNUMBER($D41),N(AK$2)&gt;=N($G$2),N(AK$2)&lt;=N($D41)),AK$2,"")</f>
        <v/>
      </c>
      <c r="AL41" s="25">
        <f>IF(AND(ISNUMBER($D41),N(AL$2)&gt;=N($G$2),N(AL$2)&lt;=N($D41)),AL$2,"")</f>
        <v/>
      </c>
      <c r="AM41" s="25">
        <f>IF(AND(ISNUMBER($D41),N(AM$2)&gt;=N($G$2),N(AM$2)&lt;=N($D41)),AM$2,"")</f>
        <v/>
      </c>
      <c r="AN41" s="25">
        <f>IF(AND(ISNUMBER($D41),N(AN$2)&gt;=N($G$2),N(AN$2)&lt;=N($D41)),AN$2,"")</f>
        <v/>
      </c>
      <c r="AO41" s="25">
        <f>IF(AND(ISNUMBER($D41),N(AO$2)&gt;=N($G$2),N(AO$2)&lt;=N($D41)),AO$2,"")</f>
        <v/>
      </c>
      <c r="AP41" s="25">
        <f>IF(AND(ISNUMBER($D41),N(AP$2)&gt;=N($G$2),N(AP$2)&lt;=N($D41)),AP$2,"")</f>
        <v/>
      </c>
      <c r="AQ41" s="25">
        <f>IF(AND(ISNUMBER($D41),N(AQ$2)&gt;=N($G$2),N(AQ$2)&lt;=N($D41)),AQ$2,"")</f>
        <v/>
      </c>
      <c r="AR41" s="25">
        <f>IF(AND(ISNUMBER($D41),N(AR$2)&gt;=N($G$2),N(AR$2)&lt;=N($D41)),AR$2,"")</f>
        <v/>
      </c>
      <c r="AS41" s="25">
        <f>IF(AND(ISNUMBER($D41),N(AS$2)&gt;=N($G$2),N(AS$2)&lt;=N($D41)),AS$2,"")</f>
        <v/>
      </c>
      <c r="AT41" s="25">
        <f>IF(AND(ISNUMBER($D41),N(AT$2)&gt;=N($G$2),N(AT$2)&lt;=N($D41)),AT$2,"")</f>
        <v/>
      </c>
      <c r="AU41" s="25">
        <f>IF(AND(ISNUMBER($D41),N(AU$2)&gt;=N($G$2),N(AU$2)&lt;=N($D41)),AU$2,"")</f>
        <v/>
      </c>
      <c r="AV41" s="25">
        <f>IF(AND(ISNUMBER($D41),N(AV$2)&gt;=N($G$2),N(AV$2)&lt;=N($D41)),AV$2,"")</f>
        <v/>
      </c>
      <c r="AW41" s="25">
        <f>IF(AND(ISNUMBER($D41),N(AW$2)&gt;=N($G$2),N(AW$2)&lt;=N($D41)),AW$2,"")</f>
        <v/>
      </c>
      <c r="AX41" s="25">
        <f>IF(AND(ISNUMBER($D41),N(AX$2)&gt;=N($G$2),N(AX$2)&lt;=N($D41)),AX$2,"")</f>
        <v/>
      </c>
      <c r="AY41" s="25">
        <f>IF(AND(ISNUMBER($D41),N(AY$2)&gt;=N($G$2),N(AY$2)&lt;=N($D41)),AY$2,"")</f>
        <v/>
      </c>
      <c r="AZ41" s="25">
        <f>IF(AND(ISNUMBER($D41),N(AZ$2)&gt;=N($G$2),N(AZ$2)&lt;=N($D41)),AZ$2,"")</f>
        <v/>
      </c>
      <c r="BA41" s="25">
        <f>IF(AND(ISNUMBER($D41),N(BA$2)&gt;=N($G$2),N(BA$2)&lt;=N($D41)),BA$2,"")</f>
        <v/>
      </c>
      <c r="BB41" s="25">
        <f>IF(AND(ISNUMBER($D41),N(BB$2)&gt;=N($G$2),N(BB$2)&lt;=N($D41)),BB$2,"")</f>
        <v/>
      </c>
      <c r="BC41" s="25">
        <f>IF(AND(ISNUMBER($D41),N(BC$2)&gt;=N($G$2),N(BC$2)&lt;=N($D41)),BC$2,"")</f>
        <v/>
      </c>
      <c r="BD41" s="25">
        <f>IF(AND(ISNUMBER($D41),N(BD$2)&gt;=N($G$2),N(BD$2)&lt;=N($D41)),BD$2,"")</f>
        <v/>
      </c>
      <c r="BE41" s="25">
        <f>IF(AND(ISNUMBER($D41),N(BE$2)&gt;=N($G$2),N(BE$2)&lt;=N($D41)),BE$2,"")</f>
        <v/>
      </c>
      <c r="BF41" s="25">
        <f>IF(AND(ISNUMBER($D41),N(BF$2)&gt;=N($G$2),N(BF$2)&lt;=N($D41)),BF$2,"")</f>
        <v/>
      </c>
      <c r="BG41" s="25">
        <f>IF(AND(ISNUMBER($D41),N(BG$2)&gt;=N($G$2),N(BG$2)&lt;=N($D41)),BG$2,"")</f>
        <v/>
      </c>
      <c r="BH41" s="25">
        <f>IF(AND(ISNUMBER($D41),N(BH$2)&gt;=N($G$2),N(BH$2)&lt;=N($D41)),BH$2,"")</f>
        <v/>
      </c>
      <c r="BI41" s="25">
        <f>IF(AND(ISNUMBER($D41),N(BI$2)&gt;=N($G$2),N(BI$2)&lt;=N($D41)),BI$2,"")</f>
        <v/>
      </c>
      <c r="BJ41" s="25">
        <f>IF(AND(ISNUMBER($D41),N(BJ$2)&gt;=N($G$2),N(BJ$2)&lt;=N($D41)),BJ$2,"")</f>
        <v/>
      </c>
      <c r="BK41" s="25">
        <f>IF(AND(ISNUMBER($D41),N(BK$2)&gt;=N($G$2),N(BK$2)&lt;=N($D41)),BK$2,"")</f>
        <v/>
      </c>
      <c r="BL41" s="25">
        <f>IF(AND(ISNUMBER($D41),N(BL$2)&gt;=N($G$2),N(BL$2)&lt;=N($D41)),BL$2,"")</f>
        <v/>
      </c>
      <c r="BM41" s="25">
        <f>IF(AND(ISNUMBER($D41),N(BM$2)&gt;=N($G$2),N(BM$2)&lt;=N($D41)),BM$2,"")</f>
        <v/>
      </c>
      <c r="BN41" s="25">
        <f>IF(AND(ISNUMBER($D41),N(BN$2)&gt;=N($G$2),N(BN$2)&lt;=N($D41)),BN$2,"")</f>
        <v/>
      </c>
      <c r="BO41" s="25">
        <f>IF(AND(ISNUMBER($D41),N(BO$2)&gt;=N($G$2),N(BO$2)&lt;=N($D41)),BO$2,"")</f>
        <v/>
      </c>
    </row>
    <row r="42" ht="20" customHeight="1">
      <c r="A42" s="26" t="inlineStr">
        <is>
          <t>实际</t>
        </is>
      </c>
      <c r="B42" s="26" t="inlineStr">
        <is>
          <t>第一期</t>
        </is>
      </c>
      <c r="C42" s="27" t="inlineStr">
        <is>
          <t>PAB115·工装实物到位</t>
        </is>
      </c>
      <c r="D42" s="28">
        <f>'时间节点计划表'!E21</f>
        <v/>
      </c>
      <c r="E42" s="28">
        <f>IF(COUNT('时间节点计划表'!F21),'时间节点计划表'!F21,"")</f>
        <v/>
      </c>
      <c r="F42" s="29">
        <f>IF(OR(D42="",E42=""),"待填",E42-D42)</f>
        <v/>
      </c>
      <c r="G42" s="25">
        <f>IF(AND(ISNUMBER($E42),N(G$2)&gt;=N($G$2),N(G$2)&lt;=N($E42)),G$2,"")</f>
        <v/>
      </c>
      <c r="H42" s="25">
        <f>IF(AND(ISNUMBER($E42),N(H$2)&gt;=N($G$2),N(H$2)&lt;=N($E42)),H$2,"")</f>
        <v/>
      </c>
      <c r="I42" s="25">
        <f>IF(AND(ISNUMBER($E42),N(I$2)&gt;=N($G$2),N(I$2)&lt;=N($E42)),I$2,"")</f>
        <v/>
      </c>
      <c r="J42" s="25">
        <f>IF(AND(ISNUMBER($E42),N(J$2)&gt;=N($G$2),N(J$2)&lt;=N($E42)),J$2,"")</f>
        <v/>
      </c>
      <c r="K42" s="25">
        <f>IF(AND(ISNUMBER($E42),N(K$2)&gt;=N($G$2),N(K$2)&lt;=N($E42)),K$2,"")</f>
        <v/>
      </c>
      <c r="L42" s="25">
        <f>IF(AND(ISNUMBER($E42),N(L$2)&gt;=N($G$2),N(L$2)&lt;=N($E42)),L$2,"")</f>
        <v/>
      </c>
      <c r="M42" s="25">
        <f>IF(AND(ISNUMBER($E42),N(M$2)&gt;=N($G$2),N(M$2)&lt;=N($E42)),M$2,"")</f>
        <v/>
      </c>
      <c r="N42" s="25">
        <f>IF(AND(ISNUMBER($E42),N(N$2)&gt;=N($G$2),N(N$2)&lt;=N($E42)),N$2,"")</f>
        <v/>
      </c>
      <c r="O42" s="25">
        <f>IF(AND(ISNUMBER($E42),N(O$2)&gt;=N($G$2),N(O$2)&lt;=N($E42)),O$2,"")</f>
        <v/>
      </c>
      <c r="P42" s="25">
        <f>IF(AND(ISNUMBER($E42),N(P$2)&gt;=N($G$2),N(P$2)&lt;=N($E42)),P$2,"")</f>
        <v/>
      </c>
      <c r="Q42" s="25">
        <f>IF(AND(ISNUMBER($E42),N(Q$2)&gt;=N($G$2),N(Q$2)&lt;=N($E42)),Q$2,"")</f>
        <v/>
      </c>
      <c r="R42" s="25">
        <f>IF(AND(ISNUMBER($E42),N(R$2)&gt;=N($G$2),N(R$2)&lt;=N($E42)),R$2,"")</f>
        <v/>
      </c>
      <c r="S42" s="25">
        <f>IF(AND(ISNUMBER($E42),N(S$2)&gt;=N($G$2),N(S$2)&lt;=N($E42)),S$2,"")</f>
        <v/>
      </c>
      <c r="T42" s="25">
        <f>IF(AND(ISNUMBER($E42),N(T$2)&gt;=N($G$2),N(T$2)&lt;=N($E42)),T$2,"")</f>
        <v/>
      </c>
      <c r="U42" s="25">
        <f>IF(AND(ISNUMBER($E42),N(U$2)&gt;=N($G$2),N(U$2)&lt;=N($E42)),U$2,"")</f>
        <v/>
      </c>
      <c r="V42" s="25">
        <f>IF(AND(ISNUMBER($E42),N(V$2)&gt;=N($G$2),N(V$2)&lt;=N($E42)),V$2,"")</f>
        <v/>
      </c>
      <c r="W42" s="25">
        <f>IF(AND(ISNUMBER($E42),N(W$2)&gt;=N($G$2),N(W$2)&lt;=N($E42)),W$2,"")</f>
        <v/>
      </c>
      <c r="X42" s="25">
        <f>IF(AND(ISNUMBER($E42),N(X$2)&gt;=N($G$2),N(X$2)&lt;=N($E42)),X$2,"")</f>
        <v/>
      </c>
      <c r="Y42" s="25">
        <f>IF(AND(ISNUMBER($E42),N(Y$2)&gt;=N($G$2),N(Y$2)&lt;=N($E42)),Y$2,"")</f>
        <v/>
      </c>
      <c r="Z42" s="25">
        <f>IF(AND(ISNUMBER($E42),N(Z$2)&gt;=N($G$2),N(Z$2)&lt;=N($E42)),Z$2,"")</f>
        <v/>
      </c>
      <c r="AA42" s="25">
        <f>IF(AND(ISNUMBER($E42),N(AA$2)&gt;=N($G$2),N(AA$2)&lt;=N($E42)),AA$2,"")</f>
        <v/>
      </c>
      <c r="AB42" s="25">
        <f>IF(AND(ISNUMBER($E42),N(AB$2)&gt;=N($G$2),N(AB$2)&lt;=N($E42)),AB$2,"")</f>
        <v/>
      </c>
      <c r="AC42" s="25">
        <f>IF(AND(ISNUMBER($E42),N(AC$2)&gt;=N($G$2),N(AC$2)&lt;=N($E42)),AC$2,"")</f>
        <v/>
      </c>
      <c r="AD42" s="25">
        <f>IF(AND(ISNUMBER($E42),N(AD$2)&gt;=N($G$2),N(AD$2)&lt;=N($E42)),AD$2,"")</f>
        <v/>
      </c>
      <c r="AE42" s="25">
        <f>IF(AND(ISNUMBER($E42),N(AE$2)&gt;=N($G$2),N(AE$2)&lt;=N($E42)),AE$2,"")</f>
        <v/>
      </c>
      <c r="AF42" s="25">
        <f>IF(AND(ISNUMBER($E42),N(AF$2)&gt;=N($G$2),N(AF$2)&lt;=N($E42)),AF$2,"")</f>
        <v/>
      </c>
      <c r="AG42" s="25">
        <f>IF(AND(ISNUMBER($E42),N(AG$2)&gt;=N($G$2),N(AG$2)&lt;=N($E42)),AG$2,"")</f>
        <v/>
      </c>
      <c r="AH42" s="25">
        <f>IF(AND(ISNUMBER($E42),N(AH$2)&gt;=N($G$2),N(AH$2)&lt;=N($E42)),AH$2,"")</f>
        <v/>
      </c>
      <c r="AI42" s="25">
        <f>IF(AND(ISNUMBER($E42),N(AI$2)&gt;=N($G$2),N(AI$2)&lt;=N($E42)),AI$2,"")</f>
        <v/>
      </c>
      <c r="AJ42" s="25">
        <f>IF(AND(ISNUMBER($E42),N(AJ$2)&gt;=N($G$2),N(AJ$2)&lt;=N($E42)),AJ$2,"")</f>
        <v/>
      </c>
      <c r="AK42" s="25">
        <f>IF(AND(ISNUMBER($E42),N(AK$2)&gt;=N($G$2),N(AK$2)&lt;=N($E42)),AK$2,"")</f>
        <v/>
      </c>
      <c r="AL42" s="25">
        <f>IF(AND(ISNUMBER($E42),N(AL$2)&gt;=N($G$2),N(AL$2)&lt;=N($E42)),AL$2,"")</f>
        <v/>
      </c>
      <c r="AM42" s="25">
        <f>IF(AND(ISNUMBER($E42),N(AM$2)&gt;=N($G$2),N(AM$2)&lt;=N($E42)),AM$2,"")</f>
        <v/>
      </c>
      <c r="AN42" s="25">
        <f>IF(AND(ISNUMBER($E42),N(AN$2)&gt;=N($G$2),N(AN$2)&lt;=N($E42)),AN$2,"")</f>
        <v/>
      </c>
      <c r="AO42" s="25">
        <f>IF(AND(ISNUMBER($E42),N(AO$2)&gt;=N($G$2),N(AO$2)&lt;=N($E42)),AO$2,"")</f>
        <v/>
      </c>
      <c r="AP42" s="25">
        <f>IF(AND(ISNUMBER($E42),N(AP$2)&gt;=N($G$2),N(AP$2)&lt;=N($E42)),AP$2,"")</f>
        <v/>
      </c>
      <c r="AQ42" s="25">
        <f>IF(AND(ISNUMBER($E42),N(AQ$2)&gt;=N($G$2),N(AQ$2)&lt;=N($E42)),AQ$2,"")</f>
        <v/>
      </c>
      <c r="AR42" s="25">
        <f>IF(AND(ISNUMBER($E42),N(AR$2)&gt;=N($G$2),N(AR$2)&lt;=N($E42)),AR$2,"")</f>
        <v/>
      </c>
      <c r="AS42" s="25">
        <f>IF(AND(ISNUMBER($E42),N(AS$2)&gt;=N($G$2),N(AS$2)&lt;=N($E42)),AS$2,"")</f>
        <v/>
      </c>
      <c r="AT42" s="25">
        <f>IF(AND(ISNUMBER($E42),N(AT$2)&gt;=N($G$2),N(AT$2)&lt;=N($E42)),AT$2,"")</f>
        <v/>
      </c>
      <c r="AU42" s="25">
        <f>IF(AND(ISNUMBER($E42),N(AU$2)&gt;=N($G$2),N(AU$2)&lt;=N($E42)),AU$2,"")</f>
        <v/>
      </c>
      <c r="AV42" s="25">
        <f>IF(AND(ISNUMBER($E42),N(AV$2)&gt;=N($G$2),N(AV$2)&lt;=N($E42)),AV$2,"")</f>
        <v/>
      </c>
      <c r="AW42" s="25">
        <f>IF(AND(ISNUMBER($E42),N(AW$2)&gt;=N($G$2),N(AW$2)&lt;=N($E42)),AW$2,"")</f>
        <v/>
      </c>
      <c r="AX42" s="25">
        <f>IF(AND(ISNUMBER($E42),N(AX$2)&gt;=N($G$2),N(AX$2)&lt;=N($E42)),AX$2,"")</f>
        <v/>
      </c>
      <c r="AY42" s="25">
        <f>IF(AND(ISNUMBER($E42),N(AY$2)&gt;=N($G$2),N(AY$2)&lt;=N($E42)),AY$2,"")</f>
        <v/>
      </c>
      <c r="AZ42" s="25">
        <f>IF(AND(ISNUMBER($E42),N(AZ$2)&gt;=N($G$2),N(AZ$2)&lt;=N($E42)),AZ$2,"")</f>
        <v/>
      </c>
      <c r="BA42" s="25">
        <f>IF(AND(ISNUMBER($E42),N(BA$2)&gt;=N($G$2),N(BA$2)&lt;=N($E42)),BA$2,"")</f>
        <v/>
      </c>
      <c r="BB42" s="25">
        <f>IF(AND(ISNUMBER($E42),N(BB$2)&gt;=N($G$2),N(BB$2)&lt;=N($E42)),BB$2,"")</f>
        <v/>
      </c>
      <c r="BC42" s="25">
        <f>IF(AND(ISNUMBER($E42),N(BC$2)&gt;=N($G$2),N(BC$2)&lt;=N($E42)),BC$2,"")</f>
        <v/>
      </c>
      <c r="BD42" s="25">
        <f>IF(AND(ISNUMBER($E42),N(BD$2)&gt;=N($G$2),N(BD$2)&lt;=N($E42)),BD$2,"")</f>
        <v/>
      </c>
      <c r="BE42" s="25">
        <f>IF(AND(ISNUMBER($E42),N(BE$2)&gt;=N($G$2),N(BE$2)&lt;=N($E42)),BE$2,"")</f>
        <v/>
      </c>
      <c r="BF42" s="25">
        <f>IF(AND(ISNUMBER($E42),N(BF$2)&gt;=N($G$2),N(BF$2)&lt;=N($E42)),BF$2,"")</f>
        <v/>
      </c>
      <c r="BG42" s="25">
        <f>IF(AND(ISNUMBER($E42),N(BG$2)&gt;=N($G$2),N(BG$2)&lt;=N($E42)),BG$2,"")</f>
        <v/>
      </c>
      <c r="BH42" s="25">
        <f>IF(AND(ISNUMBER($E42),N(BH$2)&gt;=N($G$2),N(BH$2)&lt;=N($E42)),BH$2,"")</f>
        <v/>
      </c>
      <c r="BI42" s="25">
        <f>IF(AND(ISNUMBER($E42),N(BI$2)&gt;=N($G$2),N(BI$2)&lt;=N($E42)),BI$2,"")</f>
        <v/>
      </c>
      <c r="BJ42" s="25">
        <f>IF(AND(ISNUMBER($E42),N(BJ$2)&gt;=N($G$2),N(BJ$2)&lt;=N($E42)),BJ$2,"")</f>
        <v/>
      </c>
      <c r="BK42" s="25">
        <f>IF(AND(ISNUMBER($E42),N(BK$2)&gt;=N($G$2),N(BK$2)&lt;=N($E42)),BK$2,"")</f>
        <v/>
      </c>
      <c r="BL42" s="25">
        <f>IF(AND(ISNUMBER($E42),N(BL$2)&gt;=N($G$2),N(BL$2)&lt;=N($E42)),BL$2,"")</f>
        <v/>
      </c>
      <c r="BM42" s="25">
        <f>IF(AND(ISNUMBER($E42),N(BM$2)&gt;=N($G$2),N(BM$2)&lt;=N($E42)),BM$2,"")</f>
        <v/>
      </c>
      <c r="BN42" s="25">
        <f>IF(AND(ISNUMBER($E42),N(BN$2)&gt;=N($G$2),N(BN$2)&lt;=N($E42)),BN$2,"")</f>
        <v/>
      </c>
      <c r="BO42" s="25">
        <f>IF(AND(ISNUMBER($E42),N(BO$2)&gt;=N($G$2),N(BO$2)&lt;=N($E42)),BO$2,"")</f>
        <v/>
      </c>
    </row>
    <row r="43" ht="20" customHeight="1">
      <c r="A43" s="21" t="inlineStr">
        <is>
          <t>预估</t>
        </is>
      </c>
      <c r="B43" s="21" t="inlineStr">
        <is>
          <t>第一期</t>
        </is>
      </c>
      <c r="C43" s="22" t="inlineStr">
        <is>
          <t>PAB115·排针机安装调试</t>
        </is>
      </c>
      <c r="D43" s="23">
        <f>'时间节点计划表'!E22</f>
        <v/>
      </c>
      <c r="E43" s="23">
        <f>IF(COUNT('时间节点计划表'!F22),'时间节点计划表'!F22,"")</f>
        <v/>
      </c>
      <c r="F43" s="24" t="inlineStr"/>
      <c r="G43" s="25">
        <f>IF(AND(ISNUMBER($D43),N(G$2)&gt;=N($G$2),N(G$2)&lt;=N($D43)),G$2,"")</f>
        <v/>
      </c>
      <c r="H43" s="25">
        <f>IF(AND(ISNUMBER($D43),N(H$2)&gt;=N($G$2),N(H$2)&lt;=N($D43)),H$2,"")</f>
        <v/>
      </c>
      <c r="I43" s="25">
        <f>IF(AND(ISNUMBER($D43),N(I$2)&gt;=N($G$2),N(I$2)&lt;=N($D43)),I$2,"")</f>
        <v/>
      </c>
      <c r="J43" s="25">
        <f>IF(AND(ISNUMBER($D43),N(J$2)&gt;=N($G$2),N(J$2)&lt;=N($D43)),J$2,"")</f>
        <v/>
      </c>
      <c r="K43" s="25">
        <f>IF(AND(ISNUMBER($D43),N(K$2)&gt;=N($G$2),N(K$2)&lt;=N($D43)),K$2,"")</f>
        <v/>
      </c>
      <c r="L43" s="25">
        <f>IF(AND(ISNUMBER($D43),N(L$2)&gt;=N($G$2),N(L$2)&lt;=N($D43)),L$2,"")</f>
        <v/>
      </c>
      <c r="M43" s="25">
        <f>IF(AND(ISNUMBER($D43),N(M$2)&gt;=N($G$2),N(M$2)&lt;=N($D43)),M$2,"")</f>
        <v/>
      </c>
      <c r="N43" s="25">
        <f>IF(AND(ISNUMBER($D43),N(N$2)&gt;=N($G$2),N(N$2)&lt;=N($D43)),N$2,"")</f>
        <v/>
      </c>
      <c r="O43" s="25">
        <f>IF(AND(ISNUMBER($D43),N(O$2)&gt;=N($G$2),N(O$2)&lt;=N($D43)),O$2,"")</f>
        <v/>
      </c>
      <c r="P43" s="25">
        <f>IF(AND(ISNUMBER($D43),N(P$2)&gt;=N($G$2),N(P$2)&lt;=N($D43)),P$2,"")</f>
        <v/>
      </c>
      <c r="Q43" s="25">
        <f>IF(AND(ISNUMBER($D43),N(Q$2)&gt;=N($G$2),N(Q$2)&lt;=N($D43)),Q$2,"")</f>
        <v/>
      </c>
      <c r="R43" s="25">
        <f>IF(AND(ISNUMBER($D43),N(R$2)&gt;=N($G$2),N(R$2)&lt;=N($D43)),R$2,"")</f>
        <v/>
      </c>
      <c r="S43" s="25">
        <f>IF(AND(ISNUMBER($D43),N(S$2)&gt;=N($G$2),N(S$2)&lt;=N($D43)),S$2,"")</f>
        <v/>
      </c>
      <c r="T43" s="25">
        <f>IF(AND(ISNUMBER($D43),N(T$2)&gt;=N($G$2),N(T$2)&lt;=N($D43)),T$2,"")</f>
        <v/>
      </c>
      <c r="U43" s="25">
        <f>IF(AND(ISNUMBER($D43),N(U$2)&gt;=N($G$2),N(U$2)&lt;=N($D43)),U$2,"")</f>
        <v/>
      </c>
      <c r="V43" s="25">
        <f>IF(AND(ISNUMBER($D43),N(V$2)&gt;=N($G$2),N(V$2)&lt;=N($D43)),V$2,"")</f>
        <v/>
      </c>
      <c r="W43" s="25">
        <f>IF(AND(ISNUMBER($D43),N(W$2)&gt;=N($G$2),N(W$2)&lt;=N($D43)),W$2,"")</f>
        <v/>
      </c>
      <c r="X43" s="25">
        <f>IF(AND(ISNUMBER($D43),N(X$2)&gt;=N($G$2),N(X$2)&lt;=N($D43)),X$2,"")</f>
        <v/>
      </c>
      <c r="Y43" s="25">
        <f>IF(AND(ISNUMBER($D43),N(Y$2)&gt;=N($G$2),N(Y$2)&lt;=N($D43)),Y$2,"")</f>
        <v/>
      </c>
      <c r="Z43" s="25">
        <f>IF(AND(ISNUMBER($D43),N(Z$2)&gt;=N($G$2),N(Z$2)&lt;=N($D43)),Z$2,"")</f>
        <v/>
      </c>
      <c r="AA43" s="25">
        <f>IF(AND(ISNUMBER($D43),N(AA$2)&gt;=N($G$2),N(AA$2)&lt;=N($D43)),AA$2,"")</f>
        <v/>
      </c>
      <c r="AB43" s="25">
        <f>IF(AND(ISNUMBER($D43),N(AB$2)&gt;=N($G$2),N(AB$2)&lt;=N($D43)),AB$2,"")</f>
        <v/>
      </c>
      <c r="AC43" s="25">
        <f>IF(AND(ISNUMBER($D43),N(AC$2)&gt;=N($G$2),N(AC$2)&lt;=N($D43)),AC$2,"")</f>
        <v/>
      </c>
      <c r="AD43" s="25">
        <f>IF(AND(ISNUMBER($D43),N(AD$2)&gt;=N($G$2),N(AD$2)&lt;=N($D43)),AD$2,"")</f>
        <v/>
      </c>
      <c r="AE43" s="25">
        <f>IF(AND(ISNUMBER($D43),N(AE$2)&gt;=N($G$2),N(AE$2)&lt;=N($D43)),AE$2,"")</f>
        <v/>
      </c>
      <c r="AF43" s="25">
        <f>IF(AND(ISNUMBER($D43),N(AF$2)&gt;=N($G$2),N(AF$2)&lt;=N($D43)),AF$2,"")</f>
        <v/>
      </c>
      <c r="AG43" s="25">
        <f>IF(AND(ISNUMBER($D43),N(AG$2)&gt;=N($G$2),N(AG$2)&lt;=N($D43)),AG$2,"")</f>
        <v/>
      </c>
      <c r="AH43" s="25">
        <f>IF(AND(ISNUMBER($D43),N(AH$2)&gt;=N($G$2),N(AH$2)&lt;=N($D43)),AH$2,"")</f>
        <v/>
      </c>
      <c r="AI43" s="25">
        <f>IF(AND(ISNUMBER($D43),N(AI$2)&gt;=N($G$2),N(AI$2)&lt;=N($D43)),AI$2,"")</f>
        <v/>
      </c>
      <c r="AJ43" s="25">
        <f>IF(AND(ISNUMBER($D43),N(AJ$2)&gt;=N($G$2),N(AJ$2)&lt;=N($D43)),AJ$2,"")</f>
        <v/>
      </c>
      <c r="AK43" s="25">
        <f>IF(AND(ISNUMBER($D43),N(AK$2)&gt;=N($G$2),N(AK$2)&lt;=N($D43)),AK$2,"")</f>
        <v/>
      </c>
      <c r="AL43" s="25">
        <f>IF(AND(ISNUMBER($D43),N(AL$2)&gt;=N($G$2),N(AL$2)&lt;=N($D43)),AL$2,"")</f>
        <v/>
      </c>
      <c r="AM43" s="25">
        <f>IF(AND(ISNUMBER($D43),N(AM$2)&gt;=N($G$2),N(AM$2)&lt;=N($D43)),AM$2,"")</f>
        <v/>
      </c>
      <c r="AN43" s="25">
        <f>IF(AND(ISNUMBER($D43),N(AN$2)&gt;=N($G$2),N(AN$2)&lt;=N($D43)),AN$2,"")</f>
        <v/>
      </c>
      <c r="AO43" s="25">
        <f>IF(AND(ISNUMBER($D43),N(AO$2)&gt;=N($G$2),N(AO$2)&lt;=N($D43)),AO$2,"")</f>
        <v/>
      </c>
      <c r="AP43" s="25">
        <f>IF(AND(ISNUMBER($D43),N(AP$2)&gt;=N($G$2),N(AP$2)&lt;=N($D43)),AP$2,"")</f>
        <v/>
      </c>
      <c r="AQ43" s="25">
        <f>IF(AND(ISNUMBER($D43),N(AQ$2)&gt;=N($G$2),N(AQ$2)&lt;=N($D43)),AQ$2,"")</f>
        <v/>
      </c>
      <c r="AR43" s="25">
        <f>IF(AND(ISNUMBER($D43),N(AR$2)&gt;=N($G$2),N(AR$2)&lt;=N($D43)),AR$2,"")</f>
        <v/>
      </c>
      <c r="AS43" s="25">
        <f>IF(AND(ISNUMBER($D43),N(AS$2)&gt;=N($G$2),N(AS$2)&lt;=N($D43)),AS$2,"")</f>
        <v/>
      </c>
      <c r="AT43" s="25">
        <f>IF(AND(ISNUMBER($D43),N(AT$2)&gt;=N($G$2),N(AT$2)&lt;=N($D43)),AT$2,"")</f>
        <v/>
      </c>
      <c r="AU43" s="25">
        <f>IF(AND(ISNUMBER($D43),N(AU$2)&gt;=N($G$2),N(AU$2)&lt;=N($D43)),AU$2,"")</f>
        <v/>
      </c>
      <c r="AV43" s="25">
        <f>IF(AND(ISNUMBER($D43),N(AV$2)&gt;=N($G$2),N(AV$2)&lt;=N($D43)),AV$2,"")</f>
        <v/>
      </c>
      <c r="AW43" s="25">
        <f>IF(AND(ISNUMBER($D43),N(AW$2)&gt;=N($G$2),N(AW$2)&lt;=N($D43)),AW$2,"")</f>
        <v/>
      </c>
      <c r="AX43" s="25">
        <f>IF(AND(ISNUMBER($D43),N(AX$2)&gt;=N($G$2),N(AX$2)&lt;=N($D43)),AX$2,"")</f>
        <v/>
      </c>
      <c r="AY43" s="25">
        <f>IF(AND(ISNUMBER($D43),N(AY$2)&gt;=N($G$2),N(AY$2)&lt;=N($D43)),AY$2,"")</f>
        <v/>
      </c>
      <c r="AZ43" s="25">
        <f>IF(AND(ISNUMBER($D43),N(AZ$2)&gt;=N($G$2),N(AZ$2)&lt;=N($D43)),AZ$2,"")</f>
        <v/>
      </c>
      <c r="BA43" s="25">
        <f>IF(AND(ISNUMBER($D43),N(BA$2)&gt;=N($G$2),N(BA$2)&lt;=N($D43)),BA$2,"")</f>
        <v/>
      </c>
      <c r="BB43" s="25">
        <f>IF(AND(ISNUMBER($D43),N(BB$2)&gt;=N($G$2),N(BB$2)&lt;=N($D43)),BB$2,"")</f>
        <v/>
      </c>
      <c r="BC43" s="25">
        <f>IF(AND(ISNUMBER($D43),N(BC$2)&gt;=N($G$2),N(BC$2)&lt;=N($D43)),BC$2,"")</f>
        <v/>
      </c>
      <c r="BD43" s="25">
        <f>IF(AND(ISNUMBER($D43),N(BD$2)&gt;=N($G$2),N(BD$2)&lt;=N($D43)),BD$2,"")</f>
        <v/>
      </c>
      <c r="BE43" s="25">
        <f>IF(AND(ISNUMBER($D43),N(BE$2)&gt;=N($G$2),N(BE$2)&lt;=N($D43)),BE$2,"")</f>
        <v/>
      </c>
      <c r="BF43" s="25">
        <f>IF(AND(ISNUMBER($D43),N(BF$2)&gt;=N($G$2),N(BF$2)&lt;=N($D43)),BF$2,"")</f>
        <v/>
      </c>
      <c r="BG43" s="25">
        <f>IF(AND(ISNUMBER($D43),N(BG$2)&gt;=N($G$2),N(BG$2)&lt;=N($D43)),BG$2,"")</f>
        <v/>
      </c>
      <c r="BH43" s="25">
        <f>IF(AND(ISNUMBER($D43),N(BH$2)&gt;=N($G$2),N(BH$2)&lt;=N($D43)),BH$2,"")</f>
        <v/>
      </c>
      <c r="BI43" s="25">
        <f>IF(AND(ISNUMBER($D43),N(BI$2)&gt;=N($G$2),N(BI$2)&lt;=N($D43)),BI$2,"")</f>
        <v/>
      </c>
      <c r="BJ43" s="25">
        <f>IF(AND(ISNUMBER($D43),N(BJ$2)&gt;=N($G$2),N(BJ$2)&lt;=N($D43)),BJ$2,"")</f>
        <v/>
      </c>
      <c r="BK43" s="25">
        <f>IF(AND(ISNUMBER($D43),N(BK$2)&gt;=N($G$2),N(BK$2)&lt;=N($D43)),BK$2,"")</f>
        <v/>
      </c>
      <c r="BL43" s="25">
        <f>IF(AND(ISNUMBER($D43),N(BL$2)&gt;=N($G$2),N(BL$2)&lt;=N($D43)),BL$2,"")</f>
        <v/>
      </c>
      <c r="BM43" s="25">
        <f>IF(AND(ISNUMBER($D43),N(BM$2)&gt;=N($G$2),N(BM$2)&lt;=N($D43)),BM$2,"")</f>
        <v/>
      </c>
      <c r="BN43" s="25">
        <f>IF(AND(ISNUMBER($D43),N(BN$2)&gt;=N($G$2),N(BN$2)&lt;=N($D43)),BN$2,"")</f>
        <v/>
      </c>
      <c r="BO43" s="25">
        <f>IF(AND(ISNUMBER($D43),N(BO$2)&gt;=N($G$2),N(BO$2)&lt;=N($D43)),BO$2,"")</f>
        <v/>
      </c>
    </row>
    <row r="44" ht="20" customHeight="1">
      <c r="A44" s="26" t="inlineStr">
        <is>
          <t>实际</t>
        </is>
      </c>
      <c r="B44" s="26" t="inlineStr">
        <is>
          <t>第一期</t>
        </is>
      </c>
      <c r="C44" s="27" t="inlineStr">
        <is>
          <t>PAB115·排针机安装调试</t>
        </is>
      </c>
      <c r="D44" s="28">
        <f>'时间节点计划表'!E22</f>
        <v/>
      </c>
      <c r="E44" s="28">
        <f>IF(COUNT('时间节点计划表'!F22),'时间节点计划表'!F22,"")</f>
        <v/>
      </c>
      <c r="F44" s="29">
        <f>IF(OR(D44="",E44=""),"待填",E44-D44)</f>
        <v/>
      </c>
      <c r="G44" s="25">
        <f>IF(AND(ISNUMBER($E44),N(G$2)&gt;=N($G$2),N(G$2)&lt;=N($E44)),G$2,"")</f>
        <v/>
      </c>
      <c r="H44" s="25">
        <f>IF(AND(ISNUMBER($E44),N(H$2)&gt;=N($G$2),N(H$2)&lt;=N($E44)),H$2,"")</f>
        <v/>
      </c>
      <c r="I44" s="25">
        <f>IF(AND(ISNUMBER($E44),N(I$2)&gt;=N($G$2),N(I$2)&lt;=N($E44)),I$2,"")</f>
        <v/>
      </c>
      <c r="J44" s="25">
        <f>IF(AND(ISNUMBER($E44),N(J$2)&gt;=N($G$2),N(J$2)&lt;=N($E44)),J$2,"")</f>
        <v/>
      </c>
      <c r="K44" s="25">
        <f>IF(AND(ISNUMBER($E44),N(K$2)&gt;=N($G$2),N(K$2)&lt;=N($E44)),K$2,"")</f>
        <v/>
      </c>
      <c r="L44" s="25">
        <f>IF(AND(ISNUMBER($E44),N(L$2)&gt;=N($G$2),N(L$2)&lt;=N($E44)),L$2,"")</f>
        <v/>
      </c>
      <c r="M44" s="25">
        <f>IF(AND(ISNUMBER($E44),N(M$2)&gt;=N($G$2),N(M$2)&lt;=N($E44)),M$2,"")</f>
        <v/>
      </c>
      <c r="N44" s="25">
        <f>IF(AND(ISNUMBER($E44),N(N$2)&gt;=N($G$2),N(N$2)&lt;=N($E44)),N$2,"")</f>
        <v/>
      </c>
      <c r="O44" s="25">
        <f>IF(AND(ISNUMBER($E44),N(O$2)&gt;=N($G$2),N(O$2)&lt;=N($E44)),O$2,"")</f>
        <v/>
      </c>
      <c r="P44" s="25">
        <f>IF(AND(ISNUMBER($E44),N(P$2)&gt;=N($G$2),N(P$2)&lt;=N($E44)),P$2,"")</f>
        <v/>
      </c>
      <c r="Q44" s="25">
        <f>IF(AND(ISNUMBER($E44),N(Q$2)&gt;=N($G$2),N(Q$2)&lt;=N($E44)),Q$2,"")</f>
        <v/>
      </c>
      <c r="R44" s="25">
        <f>IF(AND(ISNUMBER($E44),N(R$2)&gt;=N($G$2),N(R$2)&lt;=N($E44)),R$2,"")</f>
        <v/>
      </c>
      <c r="S44" s="25">
        <f>IF(AND(ISNUMBER($E44),N(S$2)&gt;=N($G$2),N(S$2)&lt;=N($E44)),S$2,"")</f>
        <v/>
      </c>
      <c r="T44" s="25">
        <f>IF(AND(ISNUMBER($E44),N(T$2)&gt;=N($G$2),N(T$2)&lt;=N($E44)),T$2,"")</f>
        <v/>
      </c>
      <c r="U44" s="25">
        <f>IF(AND(ISNUMBER($E44),N(U$2)&gt;=N($G$2),N(U$2)&lt;=N($E44)),U$2,"")</f>
        <v/>
      </c>
      <c r="V44" s="25">
        <f>IF(AND(ISNUMBER($E44),N(V$2)&gt;=N($G$2),N(V$2)&lt;=N($E44)),V$2,"")</f>
        <v/>
      </c>
      <c r="W44" s="25">
        <f>IF(AND(ISNUMBER($E44),N(W$2)&gt;=N($G$2),N(W$2)&lt;=N($E44)),W$2,"")</f>
        <v/>
      </c>
      <c r="X44" s="25">
        <f>IF(AND(ISNUMBER($E44),N(X$2)&gt;=N($G$2),N(X$2)&lt;=N($E44)),X$2,"")</f>
        <v/>
      </c>
      <c r="Y44" s="25">
        <f>IF(AND(ISNUMBER($E44),N(Y$2)&gt;=N($G$2),N(Y$2)&lt;=N($E44)),Y$2,"")</f>
        <v/>
      </c>
      <c r="Z44" s="25">
        <f>IF(AND(ISNUMBER($E44),N(Z$2)&gt;=N($G$2),N(Z$2)&lt;=N($E44)),Z$2,"")</f>
        <v/>
      </c>
      <c r="AA44" s="25">
        <f>IF(AND(ISNUMBER($E44),N(AA$2)&gt;=N($G$2),N(AA$2)&lt;=N($E44)),AA$2,"")</f>
        <v/>
      </c>
      <c r="AB44" s="25">
        <f>IF(AND(ISNUMBER($E44),N(AB$2)&gt;=N($G$2),N(AB$2)&lt;=N($E44)),AB$2,"")</f>
        <v/>
      </c>
      <c r="AC44" s="25">
        <f>IF(AND(ISNUMBER($E44),N(AC$2)&gt;=N($G$2),N(AC$2)&lt;=N($E44)),AC$2,"")</f>
        <v/>
      </c>
      <c r="AD44" s="25">
        <f>IF(AND(ISNUMBER($E44),N(AD$2)&gt;=N($G$2),N(AD$2)&lt;=N($E44)),AD$2,"")</f>
        <v/>
      </c>
      <c r="AE44" s="25">
        <f>IF(AND(ISNUMBER($E44),N(AE$2)&gt;=N($G$2),N(AE$2)&lt;=N($E44)),AE$2,"")</f>
        <v/>
      </c>
      <c r="AF44" s="25">
        <f>IF(AND(ISNUMBER($E44),N(AF$2)&gt;=N($G$2),N(AF$2)&lt;=N($E44)),AF$2,"")</f>
        <v/>
      </c>
      <c r="AG44" s="25">
        <f>IF(AND(ISNUMBER($E44),N(AG$2)&gt;=N($G$2),N(AG$2)&lt;=N($E44)),AG$2,"")</f>
        <v/>
      </c>
      <c r="AH44" s="25">
        <f>IF(AND(ISNUMBER($E44),N(AH$2)&gt;=N($G$2),N(AH$2)&lt;=N($E44)),AH$2,"")</f>
        <v/>
      </c>
      <c r="AI44" s="25">
        <f>IF(AND(ISNUMBER($E44),N(AI$2)&gt;=N($G$2),N(AI$2)&lt;=N($E44)),AI$2,"")</f>
        <v/>
      </c>
      <c r="AJ44" s="25">
        <f>IF(AND(ISNUMBER($E44),N(AJ$2)&gt;=N($G$2),N(AJ$2)&lt;=N($E44)),AJ$2,"")</f>
        <v/>
      </c>
      <c r="AK44" s="25">
        <f>IF(AND(ISNUMBER($E44),N(AK$2)&gt;=N($G$2),N(AK$2)&lt;=N($E44)),AK$2,"")</f>
        <v/>
      </c>
      <c r="AL44" s="25">
        <f>IF(AND(ISNUMBER($E44),N(AL$2)&gt;=N($G$2),N(AL$2)&lt;=N($E44)),AL$2,"")</f>
        <v/>
      </c>
      <c r="AM44" s="25">
        <f>IF(AND(ISNUMBER($E44),N(AM$2)&gt;=N($G$2),N(AM$2)&lt;=N($E44)),AM$2,"")</f>
        <v/>
      </c>
      <c r="AN44" s="25">
        <f>IF(AND(ISNUMBER($E44),N(AN$2)&gt;=N($G$2),N(AN$2)&lt;=N($E44)),AN$2,"")</f>
        <v/>
      </c>
      <c r="AO44" s="25">
        <f>IF(AND(ISNUMBER($E44),N(AO$2)&gt;=N($G$2),N(AO$2)&lt;=N($E44)),AO$2,"")</f>
        <v/>
      </c>
      <c r="AP44" s="25">
        <f>IF(AND(ISNUMBER($E44),N(AP$2)&gt;=N($G$2),N(AP$2)&lt;=N($E44)),AP$2,"")</f>
        <v/>
      </c>
      <c r="AQ44" s="25">
        <f>IF(AND(ISNUMBER($E44),N(AQ$2)&gt;=N($G$2),N(AQ$2)&lt;=N($E44)),AQ$2,"")</f>
        <v/>
      </c>
      <c r="AR44" s="25">
        <f>IF(AND(ISNUMBER($E44),N(AR$2)&gt;=N($G$2),N(AR$2)&lt;=N($E44)),AR$2,"")</f>
        <v/>
      </c>
      <c r="AS44" s="25">
        <f>IF(AND(ISNUMBER($E44),N(AS$2)&gt;=N($G$2),N(AS$2)&lt;=N($E44)),AS$2,"")</f>
        <v/>
      </c>
      <c r="AT44" s="25">
        <f>IF(AND(ISNUMBER($E44),N(AT$2)&gt;=N($G$2),N(AT$2)&lt;=N($E44)),AT$2,"")</f>
        <v/>
      </c>
      <c r="AU44" s="25">
        <f>IF(AND(ISNUMBER($E44),N(AU$2)&gt;=N($G$2),N(AU$2)&lt;=N($E44)),AU$2,"")</f>
        <v/>
      </c>
      <c r="AV44" s="25">
        <f>IF(AND(ISNUMBER($E44),N(AV$2)&gt;=N($G$2),N(AV$2)&lt;=N($E44)),AV$2,"")</f>
        <v/>
      </c>
      <c r="AW44" s="25">
        <f>IF(AND(ISNUMBER($E44),N(AW$2)&gt;=N($G$2),N(AW$2)&lt;=N($E44)),AW$2,"")</f>
        <v/>
      </c>
      <c r="AX44" s="25">
        <f>IF(AND(ISNUMBER($E44),N(AX$2)&gt;=N($G$2),N(AX$2)&lt;=N($E44)),AX$2,"")</f>
        <v/>
      </c>
      <c r="AY44" s="25">
        <f>IF(AND(ISNUMBER($E44),N(AY$2)&gt;=N($G$2),N(AY$2)&lt;=N($E44)),AY$2,"")</f>
        <v/>
      </c>
      <c r="AZ44" s="25">
        <f>IF(AND(ISNUMBER($E44),N(AZ$2)&gt;=N($G$2),N(AZ$2)&lt;=N($E44)),AZ$2,"")</f>
        <v/>
      </c>
      <c r="BA44" s="25">
        <f>IF(AND(ISNUMBER($E44),N(BA$2)&gt;=N($G$2),N(BA$2)&lt;=N($E44)),BA$2,"")</f>
        <v/>
      </c>
      <c r="BB44" s="25">
        <f>IF(AND(ISNUMBER($E44),N(BB$2)&gt;=N($G$2),N(BB$2)&lt;=N($E44)),BB$2,"")</f>
        <v/>
      </c>
      <c r="BC44" s="25">
        <f>IF(AND(ISNUMBER($E44),N(BC$2)&gt;=N($G$2),N(BC$2)&lt;=N($E44)),BC$2,"")</f>
        <v/>
      </c>
      <c r="BD44" s="25">
        <f>IF(AND(ISNUMBER($E44),N(BD$2)&gt;=N($G$2),N(BD$2)&lt;=N($E44)),BD$2,"")</f>
        <v/>
      </c>
      <c r="BE44" s="25">
        <f>IF(AND(ISNUMBER($E44),N(BE$2)&gt;=N($G$2),N(BE$2)&lt;=N($E44)),BE$2,"")</f>
        <v/>
      </c>
      <c r="BF44" s="25">
        <f>IF(AND(ISNUMBER($E44),N(BF$2)&gt;=N($G$2),N(BF$2)&lt;=N($E44)),BF$2,"")</f>
        <v/>
      </c>
      <c r="BG44" s="25">
        <f>IF(AND(ISNUMBER($E44),N(BG$2)&gt;=N($G$2),N(BG$2)&lt;=N($E44)),BG$2,"")</f>
        <v/>
      </c>
      <c r="BH44" s="25">
        <f>IF(AND(ISNUMBER($E44),N(BH$2)&gt;=N($G$2),N(BH$2)&lt;=N($E44)),BH$2,"")</f>
        <v/>
      </c>
      <c r="BI44" s="25">
        <f>IF(AND(ISNUMBER($E44),N(BI$2)&gt;=N($G$2),N(BI$2)&lt;=N($E44)),BI$2,"")</f>
        <v/>
      </c>
      <c r="BJ44" s="25">
        <f>IF(AND(ISNUMBER($E44),N(BJ$2)&gt;=N($G$2),N(BJ$2)&lt;=N($E44)),BJ$2,"")</f>
        <v/>
      </c>
      <c r="BK44" s="25">
        <f>IF(AND(ISNUMBER($E44),N(BK$2)&gt;=N($G$2),N(BK$2)&lt;=N($E44)),BK$2,"")</f>
        <v/>
      </c>
      <c r="BL44" s="25">
        <f>IF(AND(ISNUMBER($E44),N(BL$2)&gt;=N($G$2),N(BL$2)&lt;=N($E44)),BL$2,"")</f>
        <v/>
      </c>
      <c r="BM44" s="25">
        <f>IF(AND(ISNUMBER($E44),N(BM$2)&gt;=N($G$2),N(BM$2)&lt;=N($E44)),BM$2,"")</f>
        <v/>
      </c>
      <c r="BN44" s="25">
        <f>IF(AND(ISNUMBER($E44),N(BN$2)&gt;=N($G$2),N(BN$2)&lt;=N($E44)),BN$2,"")</f>
        <v/>
      </c>
      <c r="BO44" s="25">
        <f>IF(AND(ISNUMBER($E44),N(BO$2)&gt;=N($G$2),N(BO$2)&lt;=N($E44)),BO$2,"")</f>
        <v/>
      </c>
    </row>
    <row r="45" ht="20" customHeight="1">
      <c r="A45" s="21" t="inlineStr">
        <is>
          <t>预估</t>
        </is>
      </c>
      <c r="B45" s="21" t="inlineStr">
        <is>
          <t>第一期</t>
        </is>
      </c>
      <c r="C45" s="22" t="inlineStr">
        <is>
          <t>PAB115·单级样机</t>
        </is>
      </c>
      <c r="D45" s="23">
        <f>'时间节点计划表'!E23</f>
        <v/>
      </c>
      <c r="E45" s="23">
        <f>IF(COUNT('时间节点计划表'!F23),'时间节点计划表'!F23,"")</f>
        <v/>
      </c>
      <c r="F45" s="24" t="inlineStr"/>
      <c r="G45" s="25">
        <f>IF(AND(ISNUMBER($D45),N(G$2)&gt;=N($G$2),N(G$2)&lt;=N($D45)),G$2,"")</f>
        <v/>
      </c>
      <c r="H45" s="25">
        <f>IF(AND(ISNUMBER($D45),N(H$2)&gt;=N($G$2),N(H$2)&lt;=N($D45)),H$2,"")</f>
        <v/>
      </c>
      <c r="I45" s="25">
        <f>IF(AND(ISNUMBER($D45),N(I$2)&gt;=N($G$2),N(I$2)&lt;=N($D45)),I$2,"")</f>
        <v/>
      </c>
      <c r="J45" s="25">
        <f>IF(AND(ISNUMBER($D45),N(J$2)&gt;=N($G$2),N(J$2)&lt;=N($D45)),J$2,"")</f>
        <v/>
      </c>
      <c r="K45" s="25">
        <f>IF(AND(ISNUMBER($D45),N(K$2)&gt;=N($G$2),N(K$2)&lt;=N($D45)),K$2,"")</f>
        <v/>
      </c>
      <c r="L45" s="25">
        <f>IF(AND(ISNUMBER($D45),N(L$2)&gt;=N($G$2),N(L$2)&lt;=N($D45)),L$2,"")</f>
        <v/>
      </c>
      <c r="M45" s="25">
        <f>IF(AND(ISNUMBER($D45),N(M$2)&gt;=N($G$2),N(M$2)&lt;=N($D45)),M$2,"")</f>
        <v/>
      </c>
      <c r="N45" s="25">
        <f>IF(AND(ISNUMBER($D45),N(N$2)&gt;=N($G$2),N(N$2)&lt;=N($D45)),N$2,"")</f>
        <v/>
      </c>
      <c r="O45" s="25">
        <f>IF(AND(ISNUMBER($D45),N(O$2)&gt;=N($G$2),N(O$2)&lt;=N($D45)),O$2,"")</f>
        <v/>
      </c>
      <c r="P45" s="25">
        <f>IF(AND(ISNUMBER($D45),N(P$2)&gt;=N($G$2),N(P$2)&lt;=N($D45)),P$2,"")</f>
        <v/>
      </c>
      <c r="Q45" s="25">
        <f>IF(AND(ISNUMBER($D45),N(Q$2)&gt;=N($G$2),N(Q$2)&lt;=N($D45)),Q$2,"")</f>
        <v/>
      </c>
      <c r="R45" s="25">
        <f>IF(AND(ISNUMBER($D45),N(R$2)&gt;=N($G$2),N(R$2)&lt;=N($D45)),R$2,"")</f>
        <v/>
      </c>
      <c r="S45" s="25">
        <f>IF(AND(ISNUMBER($D45),N(S$2)&gt;=N($G$2),N(S$2)&lt;=N($D45)),S$2,"")</f>
        <v/>
      </c>
      <c r="T45" s="25">
        <f>IF(AND(ISNUMBER($D45),N(T$2)&gt;=N($G$2),N(T$2)&lt;=N($D45)),T$2,"")</f>
        <v/>
      </c>
      <c r="U45" s="25">
        <f>IF(AND(ISNUMBER($D45),N(U$2)&gt;=N($G$2),N(U$2)&lt;=N($D45)),U$2,"")</f>
        <v/>
      </c>
      <c r="V45" s="25">
        <f>IF(AND(ISNUMBER($D45),N(V$2)&gt;=N($G$2),N(V$2)&lt;=N($D45)),V$2,"")</f>
        <v/>
      </c>
      <c r="W45" s="25">
        <f>IF(AND(ISNUMBER($D45),N(W$2)&gt;=N($G$2),N(W$2)&lt;=N($D45)),W$2,"")</f>
        <v/>
      </c>
      <c r="X45" s="25">
        <f>IF(AND(ISNUMBER($D45),N(X$2)&gt;=N($G$2),N(X$2)&lt;=N($D45)),X$2,"")</f>
        <v/>
      </c>
      <c r="Y45" s="25">
        <f>IF(AND(ISNUMBER($D45),N(Y$2)&gt;=N($G$2),N(Y$2)&lt;=N($D45)),Y$2,"")</f>
        <v/>
      </c>
      <c r="Z45" s="25">
        <f>IF(AND(ISNUMBER($D45),N(Z$2)&gt;=N($G$2),N(Z$2)&lt;=N($D45)),Z$2,"")</f>
        <v/>
      </c>
      <c r="AA45" s="25">
        <f>IF(AND(ISNUMBER($D45),N(AA$2)&gt;=N($G$2),N(AA$2)&lt;=N($D45)),AA$2,"")</f>
        <v/>
      </c>
      <c r="AB45" s="25">
        <f>IF(AND(ISNUMBER($D45),N(AB$2)&gt;=N($G$2),N(AB$2)&lt;=N($D45)),AB$2,"")</f>
        <v/>
      </c>
      <c r="AC45" s="25">
        <f>IF(AND(ISNUMBER($D45),N(AC$2)&gt;=N($G$2),N(AC$2)&lt;=N($D45)),AC$2,"")</f>
        <v/>
      </c>
      <c r="AD45" s="25">
        <f>IF(AND(ISNUMBER($D45),N(AD$2)&gt;=N($G$2),N(AD$2)&lt;=N($D45)),AD$2,"")</f>
        <v/>
      </c>
      <c r="AE45" s="25">
        <f>IF(AND(ISNUMBER($D45),N(AE$2)&gt;=N($G$2),N(AE$2)&lt;=N($D45)),AE$2,"")</f>
        <v/>
      </c>
      <c r="AF45" s="25">
        <f>IF(AND(ISNUMBER($D45),N(AF$2)&gt;=N($G$2),N(AF$2)&lt;=N($D45)),AF$2,"")</f>
        <v/>
      </c>
      <c r="AG45" s="25">
        <f>IF(AND(ISNUMBER($D45),N(AG$2)&gt;=N($G$2),N(AG$2)&lt;=N($D45)),AG$2,"")</f>
        <v/>
      </c>
      <c r="AH45" s="25">
        <f>IF(AND(ISNUMBER($D45),N(AH$2)&gt;=N($G$2),N(AH$2)&lt;=N($D45)),AH$2,"")</f>
        <v/>
      </c>
      <c r="AI45" s="25">
        <f>IF(AND(ISNUMBER($D45),N(AI$2)&gt;=N($G$2),N(AI$2)&lt;=N($D45)),AI$2,"")</f>
        <v/>
      </c>
      <c r="AJ45" s="25">
        <f>IF(AND(ISNUMBER($D45),N(AJ$2)&gt;=N($G$2),N(AJ$2)&lt;=N($D45)),AJ$2,"")</f>
        <v/>
      </c>
      <c r="AK45" s="25">
        <f>IF(AND(ISNUMBER($D45),N(AK$2)&gt;=N($G$2),N(AK$2)&lt;=N($D45)),AK$2,"")</f>
        <v/>
      </c>
      <c r="AL45" s="25">
        <f>IF(AND(ISNUMBER($D45),N(AL$2)&gt;=N($G$2),N(AL$2)&lt;=N($D45)),AL$2,"")</f>
        <v/>
      </c>
      <c r="AM45" s="25">
        <f>IF(AND(ISNUMBER($D45),N(AM$2)&gt;=N($G$2),N(AM$2)&lt;=N($D45)),AM$2,"")</f>
        <v/>
      </c>
      <c r="AN45" s="25">
        <f>IF(AND(ISNUMBER($D45),N(AN$2)&gt;=N($G$2),N(AN$2)&lt;=N($D45)),AN$2,"")</f>
        <v/>
      </c>
      <c r="AO45" s="25">
        <f>IF(AND(ISNUMBER($D45),N(AO$2)&gt;=N($G$2),N(AO$2)&lt;=N($D45)),AO$2,"")</f>
        <v/>
      </c>
      <c r="AP45" s="25">
        <f>IF(AND(ISNUMBER($D45),N(AP$2)&gt;=N($G$2),N(AP$2)&lt;=N($D45)),AP$2,"")</f>
        <v/>
      </c>
      <c r="AQ45" s="25">
        <f>IF(AND(ISNUMBER($D45),N(AQ$2)&gt;=N($G$2),N(AQ$2)&lt;=N($D45)),AQ$2,"")</f>
        <v/>
      </c>
      <c r="AR45" s="25">
        <f>IF(AND(ISNUMBER($D45),N(AR$2)&gt;=N($G$2),N(AR$2)&lt;=N($D45)),AR$2,"")</f>
        <v/>
      </c>
      <c r="AS45" s="25">
        <f>IF(AND(ISNUMBER($D45),N(AS$2)&gt;=N($G$2),N(AS$2)&lt;=N($D45)),AS$2,"")</f>
        <v/>
      </c>
      <c r="AT45" s="25">
        <f>IF(AND(ISNUMBER($D45),N(AT$2)&gt;=N($G$2),N(AT$2)&lt;=N($D45)),AT$2,"")</f>
        <v/>
      </c>
      <c r="AU45" s="25">
        <f>IF(AND(ISNUMBER($D45),N(AU$2)&gt;=N($G$2),N(AU$2)&lt;=N($D45)),AU$2,"")</f>
        <v/>
      </c>
      <c r="AV45" s="25">
        <f>IF(AND(ISNUMBER($D45),N(AV$2)&gt;=N($G$2),N(AV$2)&lt;=N($D45)),AV$2,"")</f>
        <v/>
      </c>
      <c r="AW45" s="25">
        <f>IF(AND(ISNUMBER($D45),N(AW$2)&gt;=N($G$2),N(AW$2)&lt;=N($D45)),AW$2,"")</f>
        <v/>
      </c>
      <c r="AX45" s="25">
        <f>IF(AND(ISNUMBER($D45),N(AX$2)&gt;=N($G$2),N(AX$2)&lt;=N($D45)),AX$2,"")</f>
        <v/>
      </c>
      <c r="AY45" s="25">
        <f>IF(AND(ISNUMBER($D45),N(AY$2)&gt;=N($G$2),N(AY$2)&lt;=N($D45)),AY$2,"")</f>
        <v/>
      </c>
      <c r="AZ45" s="25">
        <f>IF(AND(ISNUMBER($D45),N(AZ$2)&gt;=N($G$2),N(AZ$2)&lt;=N($D45)),AZ$2,"")</f>
        <v/>
      </c>
      <c r="BA45" s="25">
        <f>IF(AND(ISNUMBER($D45),N(BA$2)&gt;=N($G$2),N(BA$2)&lt;=N($D45)),BA$2,"")</f>
        <v/>
      </c>
      <c r="BB45" s="25">
        <f>IF(AND(ISNUMBER($D45),N(BB$2)&gt;=N($G$2),N(BB$2)&lt;=N($D45)),BB$2,"")</f>
        <v/>
      </c>
      <c r="BC45" s="25">
        <f>IF(AND(ISNUMBER($D45),N(BC$2)&gt;=N($G$2),N(BC$2)&lt;=N($D45)),BC$2,"")</f>
        <v/>
      </c>
      <c r="BD45" s="25">
        <f>IF(AND(ISNUMBER($D45),N(BD$2)&gt;=N($G$2),N(BD$2)&lt;=N($D45)),BD$2,"")</f>
        <v/>
      </c>
      <c r="BE45" s="25">
        <f>IF(AND(ISNUMBER($D45),N(BE$2)&gt;=N($G$2),N(BE$2)&lt;=N($D45)),BE$2,"")</f>
        <v/>
      </c>
      <c r="BF45" s="25">
        <f>IF(AND(ISNUMBER($D45),N(BF$2)&gt;=N($G$2),N(BF$2)&lt;=N($D45)),BF$2,"")</f>
        <v/>
      </c>
      <c r="BG45" s="25">
        <f>IF(AND(ISNUMBER($D45),N(BG$2)&gt;=N($G$2),N(BG$2)&lt;=N($D45)),BG$2,"")</f>
        <v/>
      </c>
      <c r="BH45" s="25">
        <f>IF(AND(ISNUMBER($D45),N(BH$2)&gt;=N($G$2),N(BH$2)&lt;=N($D45)),BH$2,"")</f>
        <v/>
      </c>
      <c r="BI45" s="25">
        <f>IF(AND(ISNUMBER($D45),N(BI$2)&gt;=N($G$2),N(BI$2)&lt;=N($D45)),BI$2,"")</f>
        <v/>
      </c>
      <c r="BJ45" s="25">
        <f>IF(AND(ISNUMBER($D45),N(BJ$2)&gt;=N($G$2),N(BJ$2)&lt;=N($D45)),BJ$2,"")</f>
        <v/>
      </c>
      <c r="BK45" s="25">
        <f>IF(AND(ISNUMBER($D45),N(BK$2)&gt;=N($G$2),N(BK$2)&lt;=N($D45)),BK$2,"")</f>
        <v/>
      </c>
      <c r="BL45" s="25">
        <f>IF(AND(ISNUMBER($D45),N(BL$2)&gt;=N($G$2),N(BL$2)&lt;=N($D45)),BL$2,"")</f>
        <v/>
      </c>
      <c r="BM45" s="25">
        <f>IF(AND(ISNUMBER($D45),N(BM$2)&gt;=N($G$2),N(BM$2)&lt;=N($D45)),BM$2,"")</f>
        <v/>
      </c>
      <c r="BN45" s="25">
        <f>IF(AND(ISNUMBER($D45),N(BN$2)&gt;=N($G$2),N(BN$2)&lt;=N($D45)),BN$2,"")</f>
        <v/>
      </c>
      <c r="BO45" s="25">
        <f>IF(AND(ISNUMBER($D45),N(BO$2)&gt;=N($G$2),N(BO$2)&lt;=N($D45)),BO$2,"")</f>
        <v/>
      </c>
    </row>
    <row r="46" ht="20" customHeight="1">
      <c r="A46" s="26" t="inlineStr">
        <is>
          <t>实际</t>
        </is>
      </c>
      <c r="B46" s="26" t="inlineStr">
        <is>
          <t>第一期</t>
        </is>
      </c>
      <c r="C46" s="27" t="inlineStr">
        <is>
          <t>PAB115·单级样机</t>
        </is>
      </c>
      <c r="D46" s="28">
        <f>'时间节点计划表'!E23</f>
        <v/>
      </c>
      <c r="E46" s="28">
        <f>IF(COUNT('时间节点计划表'!F23),'时间节点计划表'!F23,"")</f>
        <v/>
      </c>
      <c r="F46" s="29">
        <f>IF(OR(D46="",E46=""),"待填",E46-D46)</f>
        <v/>
      </c>
      <c r="G46" s="25">
        <f>IF(AND(ISNUMBER($E46),N(G$2)&gt;=N($G$2),N(G$2)&lt;=N($E46)),G$2,"")</f>
        <v/>
      </c>
      <c r="H46" s="25">
        <f>IF(AND(ISNUMBER($E46),N(H$2)&gt;=N($G$2),N(H$2)&lt;=N($E46)),H$2,"")</f>
        <v/>
      </c>
      <c r="I46" s="25">
        <f>IF(AND(ISNUMBER($E46),N(I$2)&gt;=N($G$2),N(I$2)&lt;=N($E46)),I$2,"")</f>
        <v/>
      </c>
      <c r="J46" s="25">
        <f>IF(AND(ISNUMBER($E46),N(J$2)&gt;=N($G$2),N(J$2)&lt;=N($E46)),J$2,"")</f>
        <v/>
      </c>
      <c r="K46" s="25">
        <f>IF(AND(ISNUMBER($E46),N(K$2)&gt;=N($G$2),N(K$2)&lt;=N($E46)),K$2,"")</f>
        <v/>
      </c>
      <c r="L46" s="25">
        <f>IF(AND(ISNUMBER($E46),N(L$2)&gt;=N($G$2),N(L$2)&lt;=N($E46)),L$2,"")</f>
        <v/>
      </c>
      <c r="M46" s="25">
        <f>IF(AND(ISNUMBER($E46),N(M$2)&gt;=N($G$2),N(M$2)&lt;=N($E46)),M$2,"")</f>
        <v/>
      </c>
      <c r="N46" s="25">
        <f>IF(AND(ISNUMBER($E46),N(N$2)&gt;=N($G$2),N(N$2)&lt;=N($E46)),N$2,"")</f>
        <v/>
      </c>
      <c r="O46" s="25">
        <f>IF(AND(ISNUMBER($E46),N(O$2)&gt;=N($G$2),N(O$2)&lt;=N($E46)),O$2,"")</f>
        <v/>
      </c>
      <c r="P46" s="25">
        <f>IF(AND(ISNUMBER($E46),N(P$2)&gt;=N($G$2),N(P$2)&lt;=N($E46)),P$2,"")</f>
        <v/>
      </c>
      <c r="Q46" s="25">
        <f>IF(AND(ISNUMBER($E46),N(Q$2)&gt;=N($G$2),N(Q$2)&lt;=N($E46)),Q$2,"")</f>
        <v/>
      </c>
      <c r="R46" s="25">
        <f>IF(AND(ISNUMBER($E46),N(R$2)&gt;=N($G$2),N(R$2)&lt;=N($E46)),R$2,"")</f>
        <v/>
      </c>
      <c r="S46" s="25">
        <f>IF(AND(ISNUMBER($E46),N(S$2)&gt;=N($G$2),N(S$2)&lt;=N($E46)),S$2,"")</f>
        <v/>
      </c>
      <c r="T46" s="25">
        <f>IF(AND(ISNUMBER($E46),N(T$2)&gt;=N($G$2),N(T$2)&lt;=N($E46)),T$2,"")</f>
        <v/>
      </c>
      <c r="U46" s="25">
        <f>IF(AND(ISNUMBER($E46),N(U$2)&gt;=N($G$2),N(U$2)&lt;=N($E46)),U$2,"")</f>
        <v/>
      </c>
      <c r="V46" s="25">
        <f>IF(AND(ISNUMBER($E46),N(V$2)&gt;=N($G$2),N(V$2)&lt;=N($E46)),V$2,"")</f>
        <v/>
      </c>
      <c r="W46" s="25">
        <f>IF(AND(ISNUMBER($E46),N(W$2)&gt;=N($G$2),N(W$2)&lt;=N($E46)),W$2,"")</f>
        <v/>
      </c>
      <c r="X46" s="25">
        <f>IF(AND(ISNUMBER($E46),N(X$2)&gt;=N($G$2),N(X$2)&lt;=N($E46)),X$2,"")</f>
        <v/>
      </c>
      <c r="Y46" s="25">
        <f>IF(AND(ISNUMBER($E46),N(Y$2)&gt;=N($G$2),N(Y$2)&lt;=N($E46)),Y$2,"")</f>
        <v/>
      </c>
      <c r="Z46" s="25">
        <f>IF(AND(ISNUMBER($E46),N(Z$2)&gt;=N($G$2),N(Z$2)&lt;=N($E46)),Z$2,"")</f>
        <v/>
      </c>
      <c r="AA46" s="25">
        <f>IF(AND(ISNUMBER($E46),N(AA$2)&gt;=N($G$2),N(AA$2)&lt;=N($E46)),AA$2,"")</f>
        <v/>
      </c>
      <c r="AB46" s="25">
        <f>IF(AND(ISNUMBER($E46),N(AB$2)&gt;=N($G$2),N(AB$2)&lt;=N($E46)),AB$2,"")</f>
        <v/>
      </c>
      <c r="AC46" s="25">
        <f>IF(AND(ISNUMBER($E46),N(AC$2)&gt;=N($G$2),N(AC$2)&lt;=N($E46)),AC$2,"")</f>
        <v/>
      </c>
      <c r="AD46" s="25">
        <f>IF(AND(ISNUMBER($E46),N(AD$2)&gt;=N($G$2),N(AD$2)&lt;=N($E46)),AD$2,"")</f>
        <v/>
      </c>
      <c r="AE46" s="25">
        <f>IF(AND(ISNUMBER($E46),N(AE$2)&gt;=N($G$2),N(AE$2)&lt;=N($E46)),AE$2,"")</f>
        <v/>
      </c>
      <c r="AF46" s="25">
        <f>IF(AND(ISNUMBER($E46),N(AF$2)&gt;=N($G$2),N(AF$2)&lt;=N($E46)),AF$2,"")</f>
        <v/>
      </c>
      <c r="AG46" s="25">
        <f>IF(AND(ISNUMBER($E46),N(AG$2)&gt;=N($G$2),N(AG$2)&lt;=N($E46)),AG$2,"")</f>
        <v/>
      </c>
      <c r="AH46" s="25">
        <f>IF(AND(ISNUMBER($E46),N(AH$2)&gt;=N($G$2),N(AH$2)&lt;=N($E46)),AH$2,"")</f>
        <v/>
      </c>
      <c r="AI46" s="25">
        <f>IF(AND(ISNUMBER($E46),N(AI$2)&gt;=N($G$2),N(AI$2)&lt;=N($E46)),AI$2,"")</f>
        <v/>
      </c>
      <c r="AJ46" s="25">
        <f>IF(AND(ISNUMBER($E46),N(AJ$2)&gt;=N($G$2),N(AJ$2)&lt;=N($E46)),AJ$2,"")</f>
        <v/>
      </c>
      <c r="AK46" s="25">
        <f>IF(AND(ISNUMBER($E46),N(AK$2)&gt;=N($G$2),N(AK$2)&lt;=N($E46)),AK$2,"")</f>
        <v/>
      </c>
      <c r="AL46" s="25">
        <f>IF(AND(ISNUMBER($E46),N(AL$2)&gt;=N($G$2),N(AL$2)&lt;=N($E46)),AL$2,"")</f>
        <v/>
      </c>
      <c r="AM46" s="25">
        <f>IF(AND(ISNUMBER($E46),N(AM$2)&gt;=N($G$2),N(AM$2)&lt;=N($E46)),AM$2,"")</f>
        <v/>
      </c>
      <c r="AN46" s="25">
        <f>IF(AND(ISNUMBER($E46),N(AN$2)&gt;=N($G$2),N(AN$2)&lt;=N($E46)),AN$2,"")</f>
        <v/>
      </c>
      <c r="AO46" s="25">
        <f>IF(AND(ISNUMBER($E46),N(AO$2)&gt;=N($G$2),N(AO$2)&lt;=N($E46)),AO$2,"")</f>
        <v/>
      </c>
      <c r="AP46" s="25">
        <f>IF(AND(ISNUMBER($E46),N(AP$2)&gt;=N($G$2),N(AP$2)&lt;=N($E46)),AP$2,"")</f>
        <v/>
      </c>
      <c r="AQ46" s="25">
        <f>IF(AND(ISNUMBER($E46),N(AQ$2)&gt;=N($G$2),N(AQ$2)&lt;=N($E46)),AQ$2,"")</f>
        <v/>
      </c>
      <c r="AR46" s="25">
        <f>IF(AND(ISNUMBER($E46),N(AR$2)&gt;=N($G$2),N(AR$2)&lt;=N($E46)),AR$2,"")</f>
        <v/>
      </c>
      <c r="AS46" s="25">
        <f>IF(AND(ISNUMBER($E46),N(AS$2)&gt;=N($G$2),N(AS$2)&lt;=N($E46)),AS$2,"")</f>
        <v/>
      </c>
      <c r="AT46" s="25">
        <f>IF(AND(ISNUMBER($E46),N(AT$2)&gt;=N($G$2),N(AT$2)&lt;=N($E46)),AT$2,"")</f>
        <v/>
      </c>
      <c r="AU46" s="25">
        <f>IF(AND(ISNUMBER($E46),N(AU$2)&gt;=N($G$2),N(AU$2)&lt;=N($E46)),AU$2,"")</f>
        <v/>
      </c>
      <c r="AV46" s="25">
        <f>IF(AND(ISNUMBER($E46),N(AV$2)&gt;=N($G$2),N(AV$2)&lt;=N($E46)),AV$2,"")</f>
        <v/>
      </c>
      <c r="AW46" s="25">
        <f>IF(AND(ISNUMBER($E46),N(AW$2)&gt;=N($G$2),N(AW$2)&lt;=N($E46)),AW$2,"")</f>
        <v/>
      </c>
      <c r="AX46" s="25">
        <f>IF(AND(ISNUMBER($E46),N(AX$2)&gt;=N($G$2),N(AX$2)&lt;=N($E46)),AX$2,"")</f>
        <v/>
      </c>
      <c r="AY46" s="25">
        <f>IF(AND(ISNUMBER($E46),N(AY$2)&gt;=N($G$2),N(AY$2)&lt;=N($E46)),AY$2,"")</f>
        <v/>
      </c>
      <c r="AZ46" s="25">
        <f>IF(AND(ISNUMBER($E46),N(AZ$2)&gt;=N($G$2),N(AZ$2)&lt;=N($E46)),AZ$2,"")</f>
        <v/>
      </c>
      <c r="BA46" s="25">
        <f>IF(AND(ISNUMBER($E46),N(BA$2)&gt;=N($G$2),N(BA$2)&lt;=N($E46)),BA$2,"")</f>
        <v/>
      </c>
      <c r="BB46" s="25">
        <f>IF(AND(ISNUMBER($E46),N(BB$2)&gt;=N($G$2),N(BB$2)&lt;=N($E46)),BB$2,"")</f>
        <v/>
      </c>
      <c r="BC46" s="25">
        <f>IF(AND(ISNUMBER($E46),N(BC$2)&gt;=N($G$2),N(BC$2)&lt;=N($E46)),BC$2,"")</f>
        <v/>
      </c>
      <c r="BD46" s="25">
        <f>IF(AND(ISNUMBER($E46),N(BD$2)&gt;=N($G$2),N(BD$2)&lt;=N($E46)),BD$2,"")</f>
        <v/>
      </c>
      <c r="BE46" s="25">
        <f>IF(AND(ISNUMBER($E46),N(BE$2)&gt;=N($G$2),N(BE$2)&lt;=N($E46)),BE$2,"")</f>
        <v/>
      </c>
      <c r="BF46" s="25">
        <f>IF(AND(ISNUMBER($E46),N(BF$2)&gt;=N($G$2),N(BF$2)&lt;=N($E46)),BF$2,"")</f>
        <v/>
      </c>
      <c r="BG46" s="25">
        <f>IF(AND(ISNUMBER($E46),N(BG$2)&gt;=N($G$2),N(BG$2)&lt;=N($E46)),BG$2,"")</f>
        <v/>
      </c>
      <c r="BH46" s="25">
        <f>IF(AND(ISNUMBER($E46),N(BH$2)&gt;=N($G$2),N(BH$2)&lt;=N($E46)),BH$2,"")</f>
        <v/>
      </c>
      <c r="BI46" s="25">
        <f>IF(AND(ISNUMBER($E46),N(BI$2)&gt;=N($G$2),N(BI$2)&lt;=N($E46)),BI$2,"")</f>
        <v/>
      </c>
      <c r="BJ46" s="25">
        <f>IF(AND(ISNUMBER($E46),N(BJ$2)&gt;=N($G$2),N(BJ$2)&lt;=N($E46)),BJ$2,"")</f>
        <v/>
      </c>
      <c r="BK46" s="25">
        <f>IF(AND(ISNUMBER($E46),N(BK$2)&gt;=N($G$2),N(BK$2)&lt;=N($E46)),BK$2,"")</f>
        <v/>
      </c>
      <c r="BL46" s="25">
        <f>IF(AND(ISNUMBER($E46),N(BL$2)&gt;=N($G$2),N(BL$2)&lt;=N($E46)),BL$2,"")</f>
        <v/>
      </c>
      <c r="BM46" s="25">
        <f>IF(AND(ISNUMBER($E46),N(BM$2)&gt;=N($G$2),N(BM$2)&lt;=N($E46)),BM$2,"")</f>
        <v/>
      </c>
      <c r="BN46" s="25">
        <f>IF(AND(ISNUMBER($E46),N(BN$2)&gt;=N($G$2),N(BN$2)&lt;=N($E46)),BN$2,"")</f>
        <v/>
      </c>
      <c r="BO46" s="25">
        <f>IF(AND(ISNUMBER($E46),N(BO$2)&gt;=N($G$2),N(BO$2)&lt;=N($E46)),BO$2,"")</f>
        <v/>
      </c>
    </row>
    <row r="47" ht="20" customHeight="1">
      <c r="A47" s="21" t="inlineStr">
        <is>
          <t>预估</t>
        </is>
      </c>
      <c r="B47" s="21" t="inlineStr">
        <is>
          <t>第一期</t>
        </is>
      </c>
      <c r="C47" s="22" t="inlineStr">
        <is>
          <t>PAB115·双级样机</t>
        </is>
      </c>
      <c r="D47" s="23">
        <f>'时间节点计划表'!E24</f>
        <v/>
      </c>
      <c r="E47" s="23">
        <f>IF(COUNT('时间节点计划表'!F24),'时间节点计划表'!F24,"")</f>
        <v/>
      </c>
      <c r="F47" s="24" t="inlineStr"/>
      <c r="G47" s="25">
        <f>IF(AND(ISNUMBER($D47),N(G$2)&gt;=N($G$2),N(G$2)&lt;=N($D47)),G$2,"")</f>
        <v/>
      </c>
      <c r="H47" s="25">
        <f>IF(AND(ISNUMBER($D47),N(H$2)&gt;=N($G$2),N(H$2)&lt;=N($D47)),H$2,"")</f>
        <v/>
      </c>
      <c r="I47" s="25">
        <f>IF(AND(ISNUMBER($D47),N(I$2)&gt;=N($G$2),N(I$2)&lt;=N($D47)),I$2,"")</f>
        <v/>
      </c>
      <c r="J47" s="25">
        <f>IF(AND(ISNUMBER($D47),N(J$2)&gt;=N($G$2),N(J$2)&lt;=N($D47)),J$2,"")</f>
        <v/>
      </c>
      <c r="K47" s="25">
        <f>IF(AND(ISNUMBER($D47),N(K$2)&gt;=N($G$2),N(K$2)&lt;=N($D47)),K$2,"")</f>
        <v/>
      </c>
      <c r="L47" s="25">
        <f>IF(AND(ISNUMBER($D47),N(L$2)&gt;=N($G$2),N(L$2)&lt;=N($D47)),L$2,"")</f>
        <v/>
      </c>
      <c r="M47" s="25">
        <f>IF(AND(ISNUMBER($D47),N(M$2)&gt;=N($G$2),N(M$2)&lt;=N($D47)),M$2,"")</f>
        <v/>
      </c>
      <c r="N47" s="25">
        <f>IF(AND(ISNUMBER($D47),N(N$2)&gt;=N($G$2),N(N$2)&lt;=N($D47)),N$2,"")</f>
        <v/>
      </c>
      <c r="O47" s="25">
        <f>IF(AND(ISNUMBER($D47),N(O$2)&gt;=N($G$2),N(O$2)&lt;=N($D47)),O$2,"")</f>
        <v/>
      </c>
      <c r="P47" s="25">
        <f>IF(AND(ISNUMBER($D47),N(P$2)&gt;=N($G$2),N(P$2)&lt;=N($D47)),P$2,"")</f>
        <v/>
      </c>
      <c r="Q47" s="25">
        <f>IF(AND(ISNUMBER($D47),N(Q$2)&gt;=N($G$2),N(Q$2)&lt;=N($D47)),Q$2,"")</f>
        <v/>
      </c>
      <c r="R47" s="25">
        <f>IF(AND(ISNUMBER($D47),N(R$2)&gt;=N($G$2),N(R$2)&lt;=N($D47)),R$2,"")</f>
        <v/>
      </c>
      <c r="S47" s="25">
        <f>IF(AND(ISNUMBER($D47),N(S$2)&gt;=N($G$2),N(S$2)&lt;=N($D47)),S$2,"")</f>
        <v/>
      </c>
      <c r="T47" s="25">
        <f>IF(AND(ISNUMBER($D47),N(T$2)&gt;=N($G$2),N(T$2)&lt;=N($D47)),T$2,"")</f>
        <v/>
      </c>
      <c r="U47" s="25">
        <f>IF(AND(ISNUMBER($D47),N(U$2)&gt;=N($G$2),N(U$2)&lt;=N($D47)),U$2,"")</f>
        <v/>
      </c>
      <c r="V47" s="25">
        <f>IF(AND(ISNUMBER($D47),N(V$2)&gt;=N($G$2),N(V$2)&lt;=N($D47)),V$2,"")</f>
        <v/>
      </c>
      <c r="W47" s="25">
        <f>IF(AND(ISNUMBER($D47),N(W$2)&gt;=N($G$2),N(W$2)&lt;=N($D47)),W$2,"")</f>
        <v/>
      </c>
      <c r="X47" s="25">
        <f>IF(AND(ISNUMBER($D47),N(X$2)&gt;=N($G$2),N(X$2)&lt;=N($D47)),X$2,"")</f>
        <v/>
      </c>
      <c r="Y47" s="25">
        <f>IF(AND(ISNUMBER($D47),N(Y$2)&gt;=N($G$2),N(Y$2)&lt;=N($D47)),Y$2,"")</f>
        <v/>
      </c>
      <c r="Z47" s="25">
        <f>IF(AND(ISNUMBER($D47),N(Z$2)&gt;=N($G$2),N(Z$2)&lt;=N($D47)),Z$2,"")</f>
        <v/>
      </c>
      <c r="AA47" s="25">
        <f>IF(AND(ISNUMBER($D47),N(AA$2)&gt;=N($G$2),N(AA$2)&lt;=N($D47)),AA$2,"")</f>
        <v/>
      </c>
      <c r="AB47" s="25">
        <f>IF(AND(ISNUMBER($D47),N(AB$2)&gt;=N($G$2),N(AB$2)&lt;=N($D47)),AB$2,"")</f>
        <v/>
      </c>
      <c r="AC47" s="25">
        <f>IF(AND(ISNUMBER($D47),N(AC$2)&gt;=N($G$2),N(AC$2)&lt;=N($D47)),AC$2,"")</f>
        <v/>
      </c>
      <c r="AD47" s="25">
        <f>IF(AND(ISNUMBER($D47),N(AD$2)&gt;=N($G$2),N(AD$2)&lt;=N($D47)),AD$2,"")</f>
        <v/>
      </c>
      <c r="AE47" s="25">
        <f>IF(AND(ISNUMBER($D47),N(AE$2)&gt;=N($G$2),N(AE$2)&lt;=N($D47)),AE$2,"")</f>
        <v/>
      </c>
      <c r="AF47" s="25">
        <f>IF(AND(ISNUMBER($D47),N(AF$2)&gt;=N($G$2),N(AF$2)&lt;=N($D47)),AF$2,"")</f>
        <v/>
      </c>
      <c r="AG47" s="25">
        <f>IF(AND(ISNUMBER($D47),N(AG$2)&gt;=N($G$2),N(AG$2)&lt;=N($D47)),AG$2,"")</f>
        <v/>
      </c>
      <c r="AH47" s="25">
        <f>IF(AND(ISNUMBER($D47),N(AH$2)&gt;=N($G$2),N(AH$2)&lt;=N($D47)),AH$2,"")</f>
        <v/>
      </c>
      <c r="AI47" s="25">
        <f>IF(AND(ISNUMBER($D47),N(AI$2)&gt;=N($G$2),N(AI$2)&lt;=N($D47)),AI$2,"")</f>
        <v/>
      </c>
      <c r="AJ47" s="25">
        <f>IF(AND(ISNUMBER($D47),N(AJ$2)&gt;=N($G$2),N(AJ$2)&lt;=N($D47)),AJ$2,"")</f>
        <v/>
      </c>
      <c r="AK47" s="25">
        <f>IF(AND(ISNUMBER($D47),N(AK$2)&gt;=N($G$2),N(AK$2)&lt;=N($D47)),AK$2,"")</f>
        <v/>
      </c>
      <c r="AL47" s="25">
        <f>IF(AND(ISNUMBER($D47),N(AL$2)&gt;=N($G$2),N(AL$2)&lt;=N($D47)),AL$2,"")</f>
        <v/>
      </c>
      <c r="AM47" s="25">
        <f>IF(AND(ISNUMBER($D47),N(AM$2)&gt;=N($G$2),N(AM$2)&lt;=N($D47)),AM$2,"")</f>
        <v/>
      </c>
      <c r="AN47" s="25">
        <f>IF(AND(ISNUMBER($D47),N(AN$2)&gt;=N($G$2),N(AN$2)&lt;=N($D47)),AN$2,"")</f>
        <v/>
      </c>
      <c r="AO47" s="25">
        <f>IF(AND(ISNUMBER($D47),N(AO$2)&gt;=N($G$2),N(AO$2)&lt;=N($D47)),AO$2,"")</f>
        <v/>
      </c>
      <c r="AP47" s="25">
        <f>IF(AND(ISNUMBER($D47),N(AP$2)&gt;=N($G$2),N(AP$2)&lt;=N($D47)),AP$2,"")</f>
        <v/>
      </c>
      <c r="AQ47" s="25">
        <f>IF(AND(ISNUMBER($D47),N(AQ$2)&gt;=N($G$2),N(AQ$2)&lt;=N($D47)),AQ$2,"")</f>
        <v/>
      </c>
      <c r="AR47" s="25">
        <f>IF(AND(ISNUMBER($D47),N(AR$2)&gt;=N($G$2),N(AR$2)&lt;=N($D47)),AR$2,"")</f>
        <v/>
      </c>
      <c r="AS47" s="25">
        <f>IF(AND(ISNUMBER($D47),N(AS$2)&gt;=N($G$2),N(AS$2)&lt;=N($D47)),AS$2,"")</f>
        <v/>
      </c>
      <c r="AT47" s="25">
        <f>IF(AND(ISNUMBER($D47),N(AT$2)&gt;=N($G$2),N(AT$2)&lt;=N($D47)),AT$2,"")</f>
        <v/>
      </c>
      <c r="AU47" s="25">
        <f>IF(AND(ISNUMBER($D47),N(AU$2)&gt;=N($G$2),N(AU$2)&lt;=N($D47)),AU$2,"")</f>
        <v/>
      </c>
      <c r="AV47" s="25">
        <f>IF(AND(ISNUMBER($D47),N(AV$2)&gt;=N($G$2),N(AV$2)&lt;=N($D47)),AV$2,"")</f>
        <v/>
      </c>
      <c r="AW47" s="25">
        <f>IF(AND(ISNUMBER($D47),N(AW$2)&gt;=N($G$2),N(AW$2)&lt;=N($D47)),AW$2,"")</f>
        <v/>
      </c>
      <c r="AX47" s="25">
        <f>IF(AND(ISNUMBER($D47),N(AX$2)&gt;=N($G$2),N(AX$2)&lt;=N($D47)),AX$2,"")</f>
        <v/>
      </c>
      <c r="AY47" s="25">
        <f>IF(AND(ISNUMBER($D47),N(AY$2)&gt;=N($G$2),N(AY$2)&lt;=N($D47)),AY$2,"")</f>
        <v/>
      </c>
      <c r="AZ47" s="25">
        <f>IF(AND(ISNUMBER($D47),N(AZ$2)&gt;=N($G$2),N(AZ$2)&lt;=N($D47)),AZ$2,"")</f>
        <v/>
      </c>
      <c r="BA47" s="25">
        <f>IF(AND(ISNUMBER($D47),N(BA$2)&gt;=N($G$2),N(BA$2)&lt;=N($D47)),BA$2,"")</f>
        <v/>
      </c>
      <c r="BB47" s="25">
        <f>IF(AND(ISNUMBER($D47),N(BB$2)&gt;=N($G$2),N(BB$2)&lt;=N($D47)),BB$2,"")</f>
        <v/>
      </c>
      <c r="BC47" s="25">
        <f>IF(AND(ISNUMBER($D47),N(BC$2)&gt;=N($G$2),N(BC$2)&lt;=N($D47)),BC$2,"")</f>
        <v/>
      </c>
      <c r="BD47" s="25">
        <f>IF(AND(ISNUMBER($D47),N(BD$2)&gt;=N($G$2),N(BD$2)&lt;=N($D47)),BD$2,"")</f>
        <v/>
      </c>
      <c r="BE47" s="25">
        <f>IF(AND(ISNUMBER($D47),N(BE$2)&gt;=N($G$2),N(BE$2)&lt;=N($D47)),BE$2,"")</f>
        <v/>
      </c>
      <c r="BF47" s="25">
        <f>IF(AND(ISNUMBER($D47),N(BF$2)&gt;=N($G$2),N(BF$2)&lt;=N($D47)),BF$2,"")</f>
        <v/>
      </c>
      <c r="BG47" s="25">
        <f>IF(AND(ISNUMBER($D47),N(BG$2)&gt;=N($G$2),N(BG$2)&lt;=N($D47)),BG$2,"")</f>
        <v/>
      </c>
      <c r="BH47" s="25">
        <f>IF(AND(ISNUMBER($D47),N(BH$2)&gt;=N($G$2),N(BH$2)&lt;=N($D47)),BH$2,"")</f>
        <v/>
      </c>
      <c r="BI47" s="25">
        <f>IF(AND(ISNUMBER($D47),N(BI$2)&gt;=N($G$2),N(BI$2)&lt;=N($D47)),BI$2,"")</f>
        <v/>
      </c>
      <c r="BJ47" s="25">
        <f>IF(AND(ISNUMBER($D47),N(BJ$2)&gt;=N($G$2),N(BJ$2)&lt;=N($D47)),BJ$2,"")</f>
        <v/>
      </c>
      <c r="BK47" s="25">
        <f>IF(AND(ISNUMBER($D47),N(BK$2)&gt;=N($G$2),N(BK$2)&lt;=N($D47)),BK$2,"")</f>
        <v/>
      </c>
      <c r="BL47" s="25">
        <f>IF(AND(ISNUMBER($D47),N(BL$2)&gt;=N($G$2),N(BL$2)&lt;=N($D47)),BL$2,"")</f>
        <v/>
      </c>
      <c r="BM47" s="25">
        <f>IF(AND(ISNUMBER($D47),N(BM$2)&gt;=N($G$2),N(BM$2)&lt;=N($D47)),BM$2,"")</f>
        <v/>
      </c>
      <c r="BN47" s="25">
        <f>IF(AND(ISNUMBER($D47),N(BN$2)&gt;=N($G$2),N(BN$2)&lt;=N($D47)),BN$2,"")</f>
        <v/>
      </c>
      <c r="BO47" s="25">
        <f>IF(AND(ISNUMBER($D47),N(BO$2)&gt;=N($G$2),N(BO$2)&lt;=N($D47)),BO$2,"")</f>
        <v/>
      </c>
    </row>
    <row r="48" ht="20" customHeight="1">
      <c r="A48" s="26" t="inlineStr">
        <is>
          <t>实际</t>
        </is>
      </c>
      <c r="B48" s="26" t="inlineStr">
        <is>
          <t>第一期</t>
        </is>
      </c>
      <c r="C48" s="27" t="inlineStr">
        <is>
          <t>PAB115·双级样机</t>
        </is>
      </c>
      <c r="D48" s="28">
        <f>'时间节点计划表'!E24</f>
        <v/>
      </c>
      <c r="E48" s="28">
        <f>IF(COUNT('时间节点计划表'!F24),'时间节点计划表'!F24,"")</f>
        <v/>
      </c>
      <c r="F48" s="29">
        <f>IF(OR(D48="",E48=""),"待填",E48-D48)</f>
        <v/>
      </c>
      <c r="G48" s="25">
        <f>IF(AND(ISNUMBER($E48),N(G$2)&gt;=N($G$2),N(G$2)&lt;=N($E48)),G$2,"")</f>
        <v/>
      </c>
      <c r="H48" s="25">
        <f>IF(AND(ISNUMBER($E48),N(H$2)&gt;=N($G$2),N(H$2)&lt;=N($E48)),H$2,"")</f>
        <v/>
      </c>
      <c r="I48" s="25">
        <f>IF(AND(ISNUMBER($E48),N(I$2)&gt;=N($G$2),N(I$2)&lt;=N($E48)),I$2,"")</f>
        <v/>
      </c>
      <c r="J48" s="25">
        <f>IF(AND(ISNUMBER($E48),N(J$2)&gt;=N($G$2),N(J$2)&lt;=N($E48)),J$2,"")</f>
        <v/>
      </c>
      <c r="K48" s="25">
        <f>IF(AND(ISNUMBER($E48),N(K$2)&gt;=N($G$2),N(K$2)&lt;=N($E48)),K$2,"")</f>
        <v/>
      </c>
      <c r="L48" s="25">
        <f>IF(AND(ISNUMBER($E48),N(L$2)&gt;=N($G$2),N(L$2)&lt;=N($E48)),L$2,"")</f>
        <v/>
      </c>
      <c r="M48" s="25">
        <f>IF(AND(ISNUMBER($E48),N(M$2)&gt;=N($G$2),N(M$2)&lt;=N($E48)),M$2,"")</f>
        <v/>
      </c>
      <c r="N48" s="25">
        <f>IF(AND(ISNUMBER($E48),N(N$2)&gt;=N($G$2),N(N$2)&lt;=N($E48)),N$2,"")</f>
        <v/>
      </c>
      <c r="O48" s="25">
        <f>IF(AND(ISNUMBER($E48),N(O$2)&gt;=N($G$2),N(O$2)&lt;=N($E48)),O$2,"")</f>
        <v/>
      </c>
      <c r="P48" s="25">
        <f>IF(AND(ISNUMBER($E48),N(P$2)&gt;=N($G$2),N(P$2)&lt;=N($E48)),P$2,"")</f>
        <v/>
      </c>
      <c r="Q48" s="25">
        <f>IF(AND(ISNUMBER($E48),N(Q$2)&gt;=N($G$2),N(Q$2)&lt;=N($E48)),Q$2,"")</f>
        <v/>
      </c>
      <c r="R48" s="25">
        <f>IF(AND(ISNUMBER($E48),N(R$2)&gt;=N($G$2),N(R$2)&lt;=N($E48)),R$2,"")</f>
        <v/>
      </c>
      <c r="S48" s="25">
        <f>IF(AND(ISNUMBER($E48),N(S$2)&gt;=N($G$2),N(S$2)&lt;=N($E48)),S$2,"")</f>
        <v/>
      </c>
      <c r="T48" s="25">
        <f>IF(AND(ISNUMBER($E48),N(T$2)&gt;=N($G$2),N(T$2)&lt;=N($E48)),T$2,"")</f>
        <v/>
      </c>
      <c r="U48" s="25">
        <f>IF(AND(ISNUMBER($E48),N(U$2)&gt;=N($G$2),N(U$2)&lt;=N($E48)),U$2,"")</f>
        <v/>
      </c>
      <c r="V48" s="25">
        <f>IF(AND(ISNUMBER($E48),N(V$2)&gt;=N($G$2),N(V$2)&lt;=N($E48)),V$2,"")</f>
        <v/>
      </c>
      <c r="W48" s="25">
        <f>IF(AND(ISNUMBER($E48),N(W$2)&gt;=N($G$2),N(W$2)&lt;=N($E48)),W$2,"")</f>
        <v/>
      </c>
      <c r="X48" s="25">
        <f>IF(AND(ISNUMBER($E48),N(X$2)&gt;=N($G$2),N(X$2)&lt;=N($E48)),X$2,"")</f>
        <v/>
      </c>
      <c r="Y48" s="25">
        <f>IF(AND(ISNUMBER($E48),N(Y$2)&gt;=N($G$2),N(Y$2)&lt;=N($E48)),Y$2,"")</f>
        <v/>
      </c>
      <c r="Z48" s="25">
        <f>IF(AND(ISNUMBER($E48),N(Z$2)&gt;=N($G$2),N(Z$2)&lt;=N($E48)),Z$2,"")</f>
        <v/>
      </c>
      <c r="AA48" s="25">
        <f>IF(AND(ISNUMBER($E48),N(AA$2)&gt;=N($G$2),N(AA$2)&lt;=N($E48)),AA$2,"")</f>
        <v/>
      </c>
      <c r="AB48" s="25">
        <f>IF(AND(ISNUMBER($E48),N(AB$2)&gt;=N($G$2),N(AB$2)&lt;=N($E48)),AB$2,"")</f>
        <v/>
      </c>
      <c r="AC48" s="25">
        <f>IF(AND(ISNUMBER($E48),N(AC$2)&gt;=N($G$2),N(AC$2)&lt;=N($E48)),AC$2,"")</f>
        <v/>
      </c>
      <c r="AD48" s="25">
        <f>IF(AND(ISNUMBER($E48),N(AD$2)&gt;=N($G$2),N(AD$2)&lt;=N($E48)),AD$2,"")</f>
        <v/>
      </c>
      <c r="AE48" s="25">
        <f>IF(AND(ISNUMBER($E48),N(AE$2)&gt;=N($G$2),N(AE$2)&lt;=N($E48)),AE$2,"")</f>
        <v/>
      </c>
      <c r="AF48" s="25">
        <f>IF(AND(ISNUMBER($E48),N(AF$2)&gt;=N($G$2),N(AF$2)&lt;=N($E48)),AF$2,"")</f>
        <v/>
      </c>
      <c r="AG48" s="25">
        <f>IF(AND(ISNUMBER($E48),N(AG$2)&gt;=N($G$2),N(AG$2)&lt;=N($E48)),AG$2,"")</f>
        <v/>
      </c>
      <c r="AH48" s="25">
        <f>IF(AND(ISNUMBER($E48),N(AH$2)&gt;=N($G$2),N(AH$2)&lt;=N($E48)),AH$2,"")</f>
        <v/>
      </c>
      <c r="AI48" s="25">
        <f>IF(AND(ISNUMBER($E48),N(AI$2)&gt;=N($G$2),N(AI$2)&lt;=N($E48)),AI$2,"")</f>
        <v/>
      </c>
      <c r="AJ48" s="25">
        <f>IF(AND(ISNUMBER($E48),N(AJ$2)&gt;=N($G$2),N(AJ$2)&lt;=N($E48)),AJ$2,"")</f>
        <v/>
      </c>
      <c r="AK48" s="25">
        <f>IF(AND(ISNUMBER($E48),N(AK$2)&gt;=N($G$2),N(AK$2)&lt;=N($E48)),AK$2,"")</f>
        <v/>
      </c>
      <c r="AL48" s="25">
        <f>IF(AND(ISNUMBER($E48),N(AL$2)&gt;=N($G$2),N(AL$2)&lt;=N($E48)),AL$2,"")</f>
        <v/>
      </c>
      <c r="AM48" s="25">
        <f>IF(AND(ISNUMBER($E48),N(AM$2)&gt;=N($G$2),N(AM$2)&lt;=N($E48)),AM$2,"")</f>
        <v/>
      </c>
      <c r="AN48" s="25">
        <f>IF(AND(ISNUMBER($E48),N(AN$2)&gt;=N($G$2),N(AN$2)&lt;=N($E48)),AN$2,"")</f>
        <v/>
      </c>
      <c r="AO48" s="25">
        <f>IF(AND(ISNUMBER($E48),N(AO$2)&gt;=N($G$2),N(AO$2)&lt;=N($E48)),AO$2,"")</f>
        <v/>
      </c>
      <c r="AP48" s="25">
        <f>IF(AND(ISNUMBER($E48),N(AP$2)&gt;=N($G$2),N(AP$2)&lt;=N($E48)),AP$2,"")</f>
        <v/>
      </c>
      <c r="AQ48" s="25">
        <f>IF(AND(ISNUMBER($E48),N(AQ$2)&gt;=N($G$2),N(AQ$2)&lt;=N($E48)),AQ$2,"")</f>
        <v/>
      </c>
      <c r="AR48" s="25">
        <f>IF(AND(ISNUMBER($E48),N(AR$2)&gt;=N($G$2),N(AR$2)&lt;=N($E48)),AR$2,"")</f>
        <v/>
      </c>
      <c r="AS48" s="25">
        <f>IF(AND(ISNUMBER($E48),N(AS$2)&gt;=N($G$2),N(AS$2)&lt;=N($E48)),AS$2,"")</f>
        <v/>
      </c>
      <c r="AT48" s="25">
        <f>IF(AND(ISNUMBER($E48),N(AT$2)&gt;=N($G$2),N(AT$2)&lt;=N($E48)),AT$2,"")</f>
        <v/>
      </c>
      <c r="AU48" s="25">
        <f>IF(AND(ISNUMBER($E48),N(AU$2)&gt;=N($G$2),N(AU$2)&lt;=N($E48)),AU$2,"")</f>
        <v/>
      </c>
      <c r="AV48" s="25">
        <f>IF(AND(ISNUMBER($E48),N(AV$2)&gt;=N($G$2),N(AV$2)&lt;=N($E48)),AV$2,"")</f>
        <v/>
      </c>
      <c r="AW48" s="25">
        <f>IF(AND(ISNUMBER($E48),N(AW$2)&gt;=N($G$2),N(AW$2)&lt;=N($E48)),AW$2,"")</f>
        <v/>
      </c>
      <c r="AX48" s="25">
        <f>IF(AND(ISNUMBER($E48),N(AX$2)&gt;=N($G$2),N(AX$2)&lt;=N($E48)),AX$2,"")</f>
        <v/>
      </c>
      <c r="AY48" s="25">
        <f>IF(AND(ISNUMBER($E48),N(AY$2)&gt;=N($G$2),N(AY$2)&lt;=N($E48)),AY$2,"")</f>
        <v/>
      </c>
      <c r="AZ48" s="25">
        <f>IF(AND(ISNUMBER($E48),N(AZ$2)&gt;=N($G$2),N(AZ$2)&lt;=N($E48)),AZ$2,"")</f>
        <v/>
      </c>
      <c r="BA48" s="25">
        <f>IF(AND(ISNUMBER($E48),N(BA$2)&gt;=N($G$2),N(BA$2)&lt;=N($E48)),BA$2,"")</f>
        <v/>
      </c>
      <c r="BB48" s="25">
        <f>IF(AND(ISNUMBER($E48),N(BB$2)&gt;=N($G$2),N(BB$2)&lt;=N($E48)),BB$2,"")</f>
        <v/>
      </c>
      <c r="BC48" s="25">
        <f>IF(AND(ISNUMBER($E48),N(BC$2)&gt;=N($G$2),N(BC$2)&lt;=N($E48)),BC$2,"")</f>
        <v/>
      </c>
      <c r="BD48" s="25">
        <f>IF(AND(ISNUMBER($E48),N(BD$2)&gt;=N($G$2),N(BD$2)&lt;=N($E48)),BD$2,"")</f>
        <v/>
      </c>
      <c r="BE48" s="25">
        <f>IF(AND(ISNUMBER($E48),N(BE$2)&gt;=N($G$2),N(BE$2)&lt;=N($E48)),BE$2,"")</f>
        <v/>
      </c>
      <c r="BF48" s="25">
        <f>IF(AND(ISNUMBER($E48),N(BF$2)&gt;=N($G$2),N(BF$2)&lt;=N($E48)),BF$2,"")</f>
        <v/>
      </c>
      <c r="BG48" s="25">
        <f>IF(AND(ISNUMBER($E48),N(BG$2)&gt;=N($G$2),N(BG$2)&lt;=N($E48)),BG$2,"")</f>
        <v/>
      </c>
      <c r="BH48" s="25">
        <f>IF(AND(ISNUMBER($E48),N(BH$2)&gt;=N($G$2),N(BH$2)&lt;=N($E48)),BH$2,"")</f>
        <v/>
      </c>
      <c r="BI48" s="25">
        <f>IF(AND(ISNUMBER($E48),N(BI$2)&gt;=N($G$2),N(BI$2)&lt;=N($E48)),BI$2,"")</f>
        <v/>
      </c>
      <c r="BJ48" s="25">
        <f>IF(AND(ISNUMBER($E48),N(BJ$2)&gt;=N($G$2),N(BJ$2)&lt;=N($E48)),BJ$2,"")</f>
        <v/>
      </c>
      <c r="BK48" s="25">
        <f>IF(AND(ISNUMBER($E48),N(BK$2)&gt;=N($G$2),N(BK$2)&lt;=N($E48)),BK$2,"")</f>
        <v/>
      </c>
      <c r="BL48" s="25">
        <f>IF(AND(ISNUMBER($E48),N(BL$2)&gt;=N($G$2),N(BL$2)&lt;=N($E48)),BL$2,"")</f>
        <v/>
      </c>
      <c r="BM48" s="25">
        <f>IF(AND(ISNUMBER($E48),N(BM$2)&gt;=N($G$2),N(BM$2)&lt;=N($E48)),BM$2,"")</f>
        <v/>
      </c>
      <c r="BN48" s="25">
        <f>IF(AND(ISNUMBER($E48),N(BN$2)&gt;=N($G$2),N(BN$2)&lt;=N($E48)),BN$2,"")</f>
        <v/>
      </c>
      <c r="BO48" s="25">
        <f>IF(AND(ISNUMBER($E48),N(BO$2)&gt;=N($G$2),N(BO$2)&lt;=N($E48)),BO$2,"")</f>
        <v/>
      </c>
    </row>
    <row r="49" ht="20" customHeight="1">
      <c r="A49" s="21" t="inlineStr">
        <is>
          <t>预估</t>
        </is>
      </c>
      <c r="B49" s="21" t="inlineStr">
        <is>
          <t>第一期</t>
        </is>
      </c>
      <c r="C49" s="22" t="inlineStr">
        <is>
          <t>PAB142·零件到位</t>
        </is>
      </c>
      <c r="D49" s="23">
        <f>'时间节点计划表'!E25</f>
        <v/>
      </c>
      <c r="E49" s="23">
        <f>IF(COUNT('时间节点计划表'!F25),'时间节点计划表'!F25,"")</f>
        <v/>
      </c>
      <c r="F49" s="24" t="inlineStr"/>
      <c r="G49" s="25">
        <f>IF(AND(ISNUMBER($D49),N(G$2)&gt;=N($G$2),N(G$2)&lt;=N($D49)),G$2,"")</f>
        <v/>
      </c>
      <c r="H49" s="25">
        <f>IF(AND(ISNUMBER($D49),N(H$2)&gt;=N($G$2),N(H$2)&lt;=N($D49)),H$2,"")</f>
        <v/>
      </c>
      <c r="I49" s="25">
        <f>IF(AND(ISNUMBER($D49),N(I$2)&gt;=N($G$2),N(I$2)&lt;=N($D49)),I$2,"")</f>
        <v/>
      </c>
      <c r="J49" s="25">
        <f>IF(AND(ISNUMBER($D49),N(J$2)&gt;=N($G$2),N(J$2)&lt;=N($D49)),J$2,"")</f>
        <v/>
      </c>
      <c r="K49" s="25">
        <f>IF(AND(ISNUMBER($D49),N(K$2)&gt;=N($G$2),N(K$2)&lt;=N($D49)),K$2,"")</f>
        <v/>
      </c>
      <c r="L49" s="25">
        <f>IF(AND(ISNUMBER($D49),N(L$2)&gt;=N($G$2),N(L$2)&lt;=N($D49)),L$2,"")</f>
        <v/>
      </c>
      <c r="M49" s="25">
        <f>IF(AND(ISNUMBER($D49),N(M$2)&gt;=N($G$2),N(M$2)&lt;=N($D49)),M$2,"")</f>
        <v/>
      </c>
      <c r="N49" s="25">
        <f>IF(AND(ISNUMBER($D49),N(N$2)&gt;=N($G$2),N(N$2)&lt;=N($D49)),N$2,"")</f>
        <v/>
      </c>
      <c r="O49" s="25">
        <f>IF(AND(ISNUMBER($D49),N(O$2)&gt;=N($G$2),N(O$2)&lt;=N($D49)),O$2,"")</f>
        <v/>
      </c>
      <c r="P49" s="25">
        <f>IF(AND(ISNUMBER($D49),N(P$2)&gt;=N($G$2),N(P$2)&lt;=N($D49)),P$2,"")</f>
        <v/>
      </c>
      <c r="Q49" s="25">
        <f>IF(AND(ISNUMBER($D49),N(Q$2)&gt;=N($G$2),N(Q$2)&lt;=N($D49)),Q$2,"")</f>
        <v/>
      </c>
      <c r="R49" s="25">
        <f>IF(AND(ISNUMBER($D49),N(R$2)&gt;=N($G$2),N(R$2)&lt;=N($D49)),R$2,"")</f>
        <v/>
      </c>
      <c r="S49" s="25">
        <f>IF(AND(ISNUMBER($D49),N(S$2)&gt;=N($G$2),N(S$2)&lt;=N($D49)),S$2,"")</f>
        <v/>
      </c>
      <c r="T49" s="25">
        <f>IF(AND(ISNUMBER($D49),N(T$2)&gt;=N($G$2),N(T$2)&lt;=N($D49)),T$2,"")</f>
        <v/>
      </c>
      <c r="U49" s="25">
        <f>IF(AND(ISNUMBER($D49),N(U$2)&gt;=N($G$2),N(U$2)&lt;=N($D49)),U$2,"")</f>
        <v/>
      </c>
      <c r="V49" s="25">
        <f>IF(AND(ISNUMBER($D49),N(V$2)&gt;=N($G$2),N(V$2)&lt;=N($D49)),V$2,"")</f>
        <v/>
      </c>
      <c r="W49" s="25">
        <f>IF(AND(ISNUMBER($D49),N(W$2)&gt;=N($G$2),N(W$2)&lt;=N($D49)),W$2,"")</f>
        <v/>
      </c>
      <c r="X49" s="25">
        <f>IF(AND(ISNUMBER($D49),N(X$2)&gt;=N($G$2),N(X$2)&lt;=N($D49)),X$2,"")</f>
        <v/>
      </c>
      <c r="Y49" s="25">
        <f>IF(AND(ISNUMBER($D49),N(Y$2)&gt;=N($G$2),N(Y$2)&lt;=N($D49)),Y$2,"")</f>
        <v/>
      </c>
      <c r="Z49" s="25">
        <f>IF(AND(ISNUMBER($D49),N(Z$2)&gt;=N($G$2),N(Z$2)&lt;=N($D49)),Z$2,"")</f>
        <v/>
      </c>
      <c r="AA49" s="25">
        <f>IF(AND(ISNUMBER($D49),N(AA$2)&gt;=N($G$2),N(AA$2)&lt;=N($D49)),AA$2,"")</f>
        <v/>
      </c>
      <c r="AB49" s="25">
        <f>IF(AND(ISNUMBER($D49),N(AB$2)&gt;=N($G$2),N(AB$2)&lt;=N($D49)),AB$2,"")</f>
        <v/>
      </c>
      <c r="AC49" s="25">
        <f>IF(AND(ISNUMBER($D49),N(AC$2)&gt;=N($G$2),N(AC$2)&lt;=N($D49)),AC$2,"")</f>
        <v/>
      </c>
      <c r="AD49" s="25">
        <f>IF(AND(ISNUMBER($D49),N(AD$2)&gt;=N($G$2),N(AD$2)&lt;=N($D49)),AD$2,"")</f>
        <v/>
      </c>
      <c r="AE49" s="25">
        <f>IF(AND(ISNUMBER($D49),N(AE$2)&gt;=N($G$2),N(AE$2)&lt;=N($D49)),AE$2,"")</f>
        <v/>
      </c>
      <c r="AF49" s="25">
        <f>IF(AND(ISNUMBER($D49),N(AF$2)&gt;=N($G$2),N(AF$2)&lt;=N($D49)),AF$2,"")</f>
        <v/>
      </c>
      <c r="AG49" s="25">
        <f>IF(AND(ISNUMBER($D49),N(AG$2)&gt;=N($G$2),N(AG$2)&lt;=N($D49)),AG$2,"")</f>
        <v/>
      </c>
      <c r="AH49" s="25">
        <f>IF(AND(ISNUMBER($D49),N(AH$2)&gt;=N($G$2),N(AH$2)&lt;=N($D49)),AH$2,"")</f>
        <v/>
      </c>
      <c r="AI49" s="25">
        <f>IF(AND(ISNUMBER($D49),N(AI$2)&gt;=N($G$2),N(AI$2)&lt;=N($D49)),AI$2,"")</f>
        <v/>
      </c>
      <c r="AJ49" s="25">
        <f>IF(AND(ISNUMBER($D49),N(AJ$2)&gt;=N($G$2),N(AJ$2)&lt;=N($D49)),AJ$2,"")</f>
        <v/>
      </c>
      <c r="AK49" s="25">
        <f>IF(AND(ISNUMBER($D49),N(AK$2)&gt;=N($G$2),N(AK$2)&lt;=N($D49)),AK$2,"")</f>
        <v/>
      </c>
      <c r="AL49" s="25">
        <f>IF(AND(ISNUMBER($D49),N(AL$2)&gt;=N($G$2),N(AL$2)&lt;=N($D49)),AL$2,"")</f>
        <v/>
      </c>
      <c r="AM49" s="25">
        <f>IF(AND(ISNUMBER($D49),N(AM$2)&gt;=N($G$2),N(AM$2)&lt;=N($D49)),AM$2,"")</f>
        <v/>
      </c>
      <c r="AN49" s="25">
        <f>IF(AND(ISNUMBER($D49),N(AN$2)&gt;=N($G$2),N(AN$2)&lt;=N($D49)),AN$2,"")</f>
        <v/>
      </c>
      <c r="AO49" s="25">
        <f>IF(AND(ISNUMBER($D49),N(AO$2)&gt;=N($G$2),N(AO$2)&lt;=N($D49)),AO$2,"")</f>
        <v/>
      </c>
      <c r="AP49" s="25">
        <f>IF(AND(ISNUMBER($D49),N(AP$2)&gt;=N($G$2),N(AP$2)&lt;=N($D49)),AP$2,"")</f>
        <v/>
      </c>
      <c r="AQ49" s="25">
        <f>IF(AND(ISNUMBER($D49),N(AQ$2)&gt;=N($G$2),N(AQ$2)&lt;=N($D49)),AQ$2,"")</f>
        <v/>
      </c>
      <c r="AR49" s="25">
        <f>IF(AND(ISNUMBER($D49),N(AR$2)&gt;=N($G$2),N(AR$2)&lt;=N($D49)),AR$2,"")</f>
        <v/>
      </c>
      <c r="AS49" s="25">
        <f>IF(AND(ISNUMBER($D49),N(AS$2)&gt;=N($G$2),N(AS$2)&lt;=N($D49)),AS$2,"")</f>
        <v/>
      </c>
      <c r="AT49" s="25">
        <f>IF(AND(ISNUMBER($D49),N(AT$2)&gt;=N($G$2),N(AT$2)&lt;=N($D49)),AT$2,"")</f>
        <v/>
      </c>
      <c r="AU49" s="25">
        <f>IF(AND(ISNUMBER($D49),N(AU$2)&gt;=N($G$2),N(AU$2)&lt;=N($D49)),AU$2,"")</f>
        <v/>
      </c>
      <c r="AV49" s="25">
        <f>IF(AND(ISNUMBER($D49),N(AV$2)&gt;=N($G$2),N(AV$2)&lt;=N($D49)),AV$2,"")</f>
        <v/>
      </c>
      <c r="AW49" s="25">
        <f>IF(AND(ISNUMBER($D49),N(AW$2)&gt;=N($G$2),N(AW$2)&lt;=N($D49)),AW$2,"")</f>
        <v/>
      </c>
      <c r="AX49" s="25">
        <f>IF(AND(ISNUMBER($D49),N(AX$2)&gt;=N($G$2),N(AX$2)&lt;=N($D49)),AX$2,"")</f>
        <v/>
      </c>
      <c r="AY49" s="25">
        <f>IF(AND(ISNUMBER($D49),N(AY$2)&gt;=N($G$2),N(AY$2)&lt;=N($D49)),AY$2,"")</f>
        <v/>
      </c>
      <c r="AZ49" s="25">
        <f>IF(AND(ISNUMBER($D49),N(AZ$2)&gt;=N($G$2),N(AZ$2)&lt;=N($D49)),AZ$2,"")</f>
        <v/>
      </c>
      <c r="BA49" s="25">
        <f>IF(AND(ISNUMBER($D49),N(BA$2)&gt;=N($G$2),N(BA$2)&lt;=N($D49)),BA$2,"")</f>
        <v/>
      </c>
      <c r="BB49" s="25">
        <f>IF(AND(ISNUMBER($D49),N(BB$2)&gt;=N($G$2),N(BB$2)&lt;=N($D49)),BB$2,"")</f>
        <v/>
      </c>
      <c r="BC49" s="25">
        <f>IF(AND(ISNUMBER($D49),N(BC$2)&gt;=N($G$2),N(BC$2)&lt;=N($D49)),BC$2,"")</f>
        <v/>
      </c>
      <c r="BD49" s="25">
        <f>IF(AND(ISNUMBER($D49),N(BD$2)&gt;=N($G$2),N(BD$2)&lt;=N($D49)),BD$2,"")</f>
        <v/>
      </c>
      <c r="BE49" s="25">
        <f>IF(AND(ISNUMBER($D49),N(BE$2)&gt;=N($G$2),N(BE$2)&lt;=N($D49)),BE$2,"")</f>
        <v/>
      </c>
      <c r="BF49" s="25">
        <f>IF(AND(ISNUMBER($D49),N(BF$2)&gt;=N($G$2),N(BF$2)&lt;=N($D49)),BF$2,"")</f>
        <v/>
      </c>
      <c r="BG49" s="25">
        <f>IF(AND(ISNUMBER($D49),N(BG$2)&gt;=N($G$2),N(BG$2)&lt;=N($D49)),BG$2,"")</f>
        <v/>
      </c>
      <c r="BH49" s="25">
        <f>IF(AND(ISNUMBER($D49),N(BH$2)&gt;=N($G$2),N(BH$2)&lt;=N($D49)),BH$2,"")</f>
        <v/>
      </c>
      <c r="BI49" s="25">
        <f>IF(AND(ISNUMBER($D49),N(BI$2)&gt;=N($G$2),N(BI$2)&lt;=N($D49)),BI$2,"")</f>
        <v/>
      </c>
      <c r="BJ49" s="25">
        <f>IF(AND(ISNUMBER($D49),N(BJ$2)&gt;=N($G$2),N(BJ$2)&lt;=N($D49)),BJ$2,"")</f>
        <v/>
      </c>
      <c r="BK49" s="25">
        <f>IF(AND(ISNUMBER($D49),N(BK$2)&gt;=N($G$2),N(BK$2)&lt;=N($D49)),BK$2,"")</f>
        <v/>
      </c>
      <c r="BL49" s="25">
        <f>IF(AND(ISNUMBER($D49),N(BL$2)&gt;=N($G$2),N(BL$2)&lt;=N($D49)),BL$2,"")</f>
        <v/>
      </c>
      <c r="BM49" s="25">
        <f>IF(AND(ISNUMBER($D49),N(BM$2)&gt;=N($G$2),N(BM$2)&lt;=N($D49)),BM$2,"")</f>
        <v/>
      </c>
      <c r="BN49" s="25">
        <f>IF(AND(ISNUMBER($D49),N(BN$2)&gt;=N($G$2),N(BN$2)&lt;=N($D49)),BN$2,"")</f>
        <v/>
      </c>
      <c r="BO49" s="25">
        <f>IF(AND(ISNUMBER($D49),N(BO$2)&gt;=N($G$2),N(BO$2)&lt;=N($D49)),BO$2,"")</f>
        <v/>
      </c>
    </row>
    <row r="50" ht="20" customHeight="1">
      <c r="A50" s="26" t="inlineStr">
        <is>
          <t>实际</t>
        </is>
      </c>
      <c r="B50" s="26" t="inlineStr">
        <is>
          <t>第一期</t>
        </is>
      </c>
      <c r="C50" s="27" t="inlineStr">
        <is>
          <t>PAB142·零件到位</t>
        </is>
      </c>
      <c r="D50" s="28">
        <f>'时间节点计划表'!E25</f>
        <v/>
      </c>
      <c r="E50" s="28">
        <f>IF(COUNT('时间节点计划表'!F25),'时间节点计划表'!F25,"")</f>
        <v/>
      </c>
      <c r="F50" s="29">
        <f>IF(OR(D50="",E50=""),"待填",E50-D50)</f>
        <v/>
      </c>
      <c r="G50" s="25">
        <f>IF(AND(ISNUMBER($E50),N(G$2)&gt;=N($G$2),N(G$2)&lt;=N($E50)),G$2,"")</f>
        <v/>
      </c>
      <c r="H50" s="25">
        <f>IF(AND(ISNUMBER($E50),N(H$2)&gt;=N($G$2),N(H$2)&lt;=N($E50)),H$2,"")</f>
        <v/>
      </c>
      <c r="I50" s="25">
        <f>IF(AND(ISNUMBER($E50),N(I$2)&gt;=N($G$2),N(I$2)&lt;=N($E50)),I$2,"")</f>
        <v/>
      </c>
      <c r="J50" s="25">
        <f>IF(AND(ISNUMBER($E50),N(J$2)&gt;=N($G$2),N(J$2)&lt;=N($E50)),J$2,"")</f>
        <v/>
      </c>
      <c r="K50" s="25">
        <f>IF(AND(ISNUMBER($E50),N(K$2)&gt;=N($G$2),N(K$2)&lt;=N($E50)),K$2,"")</f>
        <v/>
      </c>
      <c r="L50" s="25">
        <f>IF(AND(ISNUMBER($E50),N(L$2)&gt;=N($G$2),N(L$2)&lt;=N($E50)),L$2,"")</f>
        <v/>
      </c>
      <c r="M50" s="25">
        <f>IF(AND(ISNUMBER($E50),N(M$2)&gt;=N($G$2),N(M$2)&lt;=N($E50)),M$2,"")</f>
        <v/>
      </c>
      <c r="N50" s="25">
        <f>IF(AND(ISNUMBER($E50),N(N$2)&gt;=N($G$2),N(N$2)&lt;=N($E50)),N$2,"")</f>
        <v/>
      </c>
      <c r="O50" s="25">
        <f>IF(AND(ISNUMBER($E50),N(O$2)&gt;=N($G$2),N(O$2)&lt;=N($E50)),O$2,"")</f>
        <v/>
      </c>
      <c r="P50" s="25">
        <f>IF(AND(ISNUMBER($E50),N(P$2)&gt;=N($G$2),N(P$2)&lt;=N($E50)),P$2,"")</f>
        <v/>
      </c>
      <c r="Q50" s="25">
        <f>IF(AND(ISNUMBER($E50),N(Q$2)&gt;=N($G$2),N(Q$2)&lt;=N($E50)),Q$2,"")</f>
        <v/>
      </c>
      <c r="R50" s="25">
        <f>IF(AND(ISNUMBER($E50),N(R$2)&gt;=N($G$2),N(R$2)&lt;=N($E50)),R$2,"")</f>
        <v/>
      </c>
      <c r="S50" s="25">
        <f>IF(AND(ISNUMBER($E50),N(S$2)&gt;=N($G$2),N(S$2)&lt;=N($E50)),S$2,"")</f>
        <v/>
      </c>
      <c r="T50" s="25">
        <f>IF(AND(ISNUMBER($E50),N(T$2)&gt;=N($G$2),N(T$2)&lt;=N($E50)),T$2,"")</f>
        <v/>
      </c>
      <c r="U50" s="25">
        <f>IF(AND(ISNUMBER($E50),N(U$2)&gt;=N($G$2),N(U$2)&lt;=N($E50)),U$2,"")</f>
        <v/>
      </c>
      <c r="V50" s="25">
        <f>IF(AND(ISNUMBER($E50),N(V$2)&gt;=N($G$2),N(V$2)&lt;=N($E50)),V$2,"")</f>
        <v/>
      </c>
      <c r="W50" s="25">
        <f>IF(AND(ISNUMBER($E50),N(W$2)&gt;=N($G$2),N(W$2)&lt;=N($E50)),W$2,"")</f>
        <v/>
      </c>
      <c r="X50" s="25">
        <f>IF(AND(ISNUMBER($E50),N(X$2)&gt;=N($G$2),N(X$2)&lt;=N($E50)),X$2,"")</f>
        <v/>
      </c>
      <c r="Y50" s="25">
        <f>IF(AND(ISNUMBER($E50),N(Y$2)&gt;=N($G$2),N(Y$2)&lt;=N($E50)),Y$2,"")</f>
        <v/>
      </c>
      <c r="Z50" s="25">
        <f>IF(AND(ISNUMBER($E50),N(Z$2)&gt;=N($G$2),N(Z$2)&lt;=N($E50)),Z$2,"")</f>
        <v/>
      </c>
      <c r="AA50" s="25">
        <f>IF(AND(ISNUMBER($E50),N(AA$2)&gt;=N($G$2),N(AA$2)&lt;=N($E50)),AA$2,"")</f>
        <v/>
      </c>
      <c r="AB50" s="25">
        <f>IF(AND(ISNUMBER($E50),N(AB$2)&gt;=N($G$2),N(AB$2)&lt;=N($E50)),AB$2,"")</f>
        <v/>
      </c>
      <c r="AC50" s="25">
        <f>IF(AND(ISNUMBER($E50),N(AC$2)&gt;=N($G$2),N(AC$2)&lt;=N($E50)),AC$2,"")</f>
        <v/>
      </c>
      <c r="AD50" s="25">
        <f>IF(AND(ISNUMBER($E50),N(AD$2)&gt;=N($G$2),N(AD$2)&lt;=N($E50)),AD$2,"")</f>
        <v/>
      </c>
      <c r="AE50" s="25">
        <f>IF(AND(ISNUMBER($E50),N(AE$2)&gt;=N($G$2),N(AE$2)&lt;=N($E50)),AE$2,"")</f>
        <v/>
      </c>
      <c r="AF50" s="25">
        <f>IF(AND(ISNUMBER($E50),N(AF$2)&gt;=N($G$2),N(AF$2)&lt;=N($E50)),AF$2,"")</f>
        <v/>
      </c>
      <c r="AG50" s="25">
        <f>IF(AND(ISNUMBER($E50),N(AG$2)&gt;=N($G$2),N(AG$2)&lt;=N($E50)),AG$2,"")</f>
        <v/>
      </c>
      <c r="AH50" s="25">
        <f>IF(AND(ISNUMBER($E50),N(AH$2)&gt;=N($G$2),N(AH$2)&lt;=N($E50)),AH$2,"")</f>
        <v/>
      </c>
      <c r="AI50" s="25">
        <f>IF(AND(ISNUMBER($E50),N(AI$2)&gt;=N($G$2),N(AI$2)&lt;=N($E50)),AI$2,"")</f>
        <v/>
      </c>
      <c r="AJ50" s="25">
        <f>IF(AND(ISNUMBER($E50),N(AJ$2)&gt;=N($G$2),N(AJ$2)&lt;=N($E50)),AJ$2,"")</f>
        <v/>
      </c>
      <c r="AK50" s="25">
        <f>IF(AND(ISNUMBER($E50),N(AK$2)&gt;=N($G$2),N(AK$2)&lt;=N($E50)),AK$2,"")</f>
        <v/>
      </c>
      <c r="AL50" s="25">
        <f>IF(AND(ISNUMBER($E50),N(AL$2)&gt;=N($G$2),N(AL$2)&lt;=N($E50)),AL$2,"")</f>
        <v/>
      </c>
      <c r="AM50" s="25">
        <f>IF(AND(ISNUMBER($E50),N(AM$2)&gt;=N($G$2),N(AM$2)&lt;=N($E50)),AM$2,"")</f>
        <v/>
      </c>
      <c r="AN50" s="25">
        <f>IF(AND(ISNUMBER($E50),N(AN$2)&gt;=N($G$2),N(AN$2)&lt;=N($E50)),AN$2,"")</f>
        <v/>
      </c>
      <c r="AO50" s="25">
        <f>IF(AND(ISNUMBER($E50),N(AO$2)&gt;=N($G$2),N(AO$2)&lt;=N($E50)),AO$2,"")</f>
        <v/>
      </c>
      <c r="AP50" s="25">
        <f>IF(AND(ISNUMBER($E50),N(AP$2)&gt;=N($G$2),N(AP$2)&lt;=N($E50)),AP$2,"")</f>
        <v/>
      </c>
      <c r="AQ50" s="25">
        <f>IF(AND(ISNUMBER($E50),N(AQ$2)&gt;=N($G$2),N(AQ$2)&lt;=N($E50)),AQ$2,"")</f>
        <v/>
      </c>
      <c r="AR50" s="25">
        <f>IF(AND(ISNUMBER($E50),N(AR$2)&gt;=N($G$2),N(AR$2)&lt;=N($E50)),AR$2,"")</f>
        <v/>
      </c>
      <c r="AS50" s="25">
        <f>IF(AND(ISNUMBER($E50),N(AS$2)&gt;=N($G$2),N(AS$2)&lt;=N($E50)),AS$2,"")</f>
        <v/>
      </c>
      <c r="AT50" s="25">
        <f>IF(AND(ISNUMBER($E50),N(AT$2)&gt;=N($G$2),N(AT$2)&lt;=N($E50)),AT$2,"")</f>
        <v/>
      </c>
      <c r="AU50" s="25">
        <f>IF(AND(ISNUMBER($E50),N(AU$2)&gt;=N($G$2),N(AU$2)&lt;=N($E50)),AU$2,"")</f>
        <v/>
      </c>
      <c r="AV50" s="25">
        <f>IF(AND(ISNUMBER($E50),N(AV$2)&gt;=N($G$2),N(AV$2)&lt;=N($E50)),AV$2,"")</f>
        <v/>
      </c>
      <c r="AW50" s="25">
        <f>IF(AND(ISNUMBER($E50),N(AW$2)&gt;=N($G$2),N(AW$2)&lt;=N($E50)),AW$2,"")</f>
        <v/>
      </c>
      <c r="AX50" s="25">
        <f>IF(AND(ISNUMBER($E50),N(AX$2)&gt;=N($G$2),N(AX$2)&lt;=N($E50)),AX$2,"")</f>
        <v/>
      </c>
      <c r="AY50" s="25">
        <f>IF(AND(ISNUMBER($E50),N(AY$2)&gt;=N($G$2),N(AY$2)&lt;=N($E50)),AY$2,"")</f>
        <v/>
      </c>
      <c r="AZ50" s="25">
        <f>IF(AND(ISNUMBER($E50),N(AZ$2)&gt;=N($G$2),N(AZ$2)&lt;=N($E50)),AZ$2,"")</f>
        <v/>
      </c>
      <c r="BA50" s="25">
        <f>IF(AND(ISNUMBER($E50),N(BA$2)&gt;=N($G$2),N(BA$2)&lt;=N($E50)),BA$2,"")</f>
        <v/>
      </c>
      <c r="BB50" s="25">
        <f>IF(AND(ISNUMBER($E50),N(BB$2)&gt;=N($G$2),N(BB$2)&lt;=N($E50)),BB$2,"")</f>
        <v/>
      </c>
      <c r="BC50" s="25">
        <f>IF(AND(ISNUMBER($E50),N(BC$2)&gt;=N($G$2),N(BC$2)&lt;=N($E50)),BC$2,"")</f>
        <v/>
      </c>
      <c r="BD50" s="25">
        <f>IF(AND(ISNUMBER($E50),N(BD$2)&gt;=N($G$2),N(BD$2)&lt;=N($E50)),BD$2,"")</f>
        <v/>
      </c>
      <c r="BE50" s="25">
        <f>IF(AND(ISNUMBER($E50),N(BE$2)&gt;=N($G$2),N(BE$2)&lt;=N($E50)),BE$2,"")</f>
        <v/>
      </c>
      <c r="BF50" s="25">
        <f>IF(AND(ISNUMBER($E50),N(BF$2)&gt;=N($G$2),N(BF$2)&lt;=N($E50)),BF$2,"")</f>
        <v/>
      </c>
      <c r="BG50" s="25">
        <f>IF(AND(ISNUMBER($E50),N(BG$2)&gt;=N($G$2),N(BG$2)&lt;=N($E50)),BG$2,"")</f>
        <v/>
      </c>
      <c r="BH50" s="25">
        <f>IF(AND(ISNUMBER($E50),N(BH$2)&gt;=N($G$2),N(BH$2)&lt;=N($E50)),BH$2,"")</f>
        <v/>
      </c>
      <c r="BI50" s="25">
        <f>IF(AND(ISNUMBER($E50),N(BI$2)&gt;=N($G$2),N(BI$2)&lt;=N($E50)),BI$2,"")</f>
        <v/>
      </c>
      <c r="BJ50" s="25">
        <f>IF(AND(ISNUMBER($E50),N(BJ$2)&gt;=N($G$2),N(BJ$2)&lt;=N($E50)),BJ$2,"")</f>
        <v/>
      </c>
      <c r="BK50" s="25">
        <f>IF(AND(ISNUMBER($E50),N(BK$2)&gt;=N($G$2),N(BK$2)&lt;=N($E50)),BK$2,"")</f>
        <v/>
      </c>
      <c r="BL50" s="25">
        <f>IF(AND(ISNUMBER($E50),N(BL$2)&gt;=N($G$2),N(BL$2)&lt;=N($E50)),BL$2,"")</f>
        <v/>
      </c>
      <c r="BM50" s="25">
        <f>IF(AND(ISNUMBER($E50),N(BM$2)&gt;=N($G$2),N(BM$2)&lt;=N($E50)),BM$2,"")</f>
        <v/>
      </c>
      <c r="BN50" s="25">
        <f>IF(AND(ISNUMBER($E50),N(BN$2)&gt;=N($G$2),N(BN$2)&lt;=N($E50)),BN$2,"")</f>
        <v/>
      </c>
      <c r="BO50" s="25">
        <f>IF(AND(ISNUMBER($E50),N(BO$2)&gt;=N($G$2),N(BO$2)&lt;=N($E50)),BO$2,"")</f>
        <v/>
      </c>
    </row>
    <row r="51" ht="20" customHeight="1">
      <c r="A51" s="21" t="inlineStr">
        <is>
          <t>预估</t>
        </is>
      </c>
      <c r="B51" s="21" t="inlineStr">
        <is>
          <t>第一期</t>
        </is>
      </c>
      <c r="C51" s="22" t="inlineStr">
        <is>
          <t>PAB142·工装图纸绘制</t>
        </is>
      </c>
      <c r="D51" s="23">
        <f>'时间节点计划表'!E26</f>
        <v/>
      </c>
      <c r="E51" s="23">
        <f>IF(COUNT('时间节点计划表'!F26),'时间节点计划表'!F26,"")</f>
        <v/>
      </c>
      <c r="F51" s="24" t="inlineStr"/>
      <c r="G51" s="25">
        <f>IF(AND(ISNUMBER($D51),N(G$2)&gt;=N($G$2),N(G$2)&lt;=N($D51)),G$2,"")</f>
        <v/>
      </c>
      <c r="H51" s="25">
        <f>IF(AND(ISNUMBER($D51),N(H$2)&gt;=N($G$2),N(H$2)&lt;=N($D51)),H$2,"")</f>
        <v/>
      </c>
      <c r="I51" s="25">
        <f>IF(AND(ISNUMBER($D51),N(I$2)&gt;=N($G$2),N(I$2)&lt;=N($D51)),I$2,"")</f>
        <v/>
      </c>
      <c r="J51" s="25">
        <f>IF(AND(ISNUMBER($D51),N(J$2)&gt;=N($G$2),N(J$2)&lt;=N($D51)),J$2,"")</f>
        <v/>
      </c>
      <c r="K51" s="25">
        <f>IF(AND(ISNUMBER($D51),N(K$2)&gt;=N($G$2),N(K$2)&lt;=N($D51)),K$2,"")</f>
        <v/>
      </c>
      <c r="L51" s="25">
        <f>IF(AND(ISNUMBER($D51),N(L$2)&gt;=N($G$2),N(L$2)&lt;=N($D51)),L$2,"")</f>
        <v/>
      </c>
      <c r="M51" s="25">
        <f>IF(AND(ISNUMBER($D51),N(M$2)&gt;=N($G$2),N(M$2)&lt;=N($D51)),M$2,"")</f>
        <v/>
      </c>
      <c r="N51" s="25">
        <f>IF(AND(ISNUMBER($D51),N(N$2)&gt;=N($G$2),N(N$2)&lt;=N($D51)),N$2,"")</f>
        <v/>
      </c>
      <c r="O51" s="25">
        <f>IF(AND(ISNUMBER($D51),N(O$2)&gt;=N($G$2),N(O$2)&lt;=N($D51)),O$2,"")</f>
        <v/>
      </c>
      <c r="P51" s="25">
        <f>IF(AND(ISNUMBER($D51),N(P$2)&gt;=N($G$2),N(P$2)&lt;=N($D51)),P$2,"")</f>
        <v/>
      </c>
      <c r="Q51" s="25">
        <f>IF(AND(ISNUMBER($D51),N(Q$2)&gt;=N($G$2),N(Q$2)&lt;=N($D51)),Q$2,"")</f>
        <v/>
      </c>
      <c r="R51" s="25">
        <f>IF(AND(ISNUMBER($D51),N(R$2)&gt;=N($G$2),N(R$2)&lt;=N($D51)),R$2,"")</f>
        <v/>
      </c>
      <c r="S51" s="25">
        <f>IF(AND(ISNUMBER($D51),N(S$2)&gt;=N($G$2),N(S$2)&lt;=N($D51)),S$2,"")</f>
        <v/>
      </c>
      <c r="T51" s="25">
        <f>IF(AND(ISNUMBER($D51),N(T$2)&gt;=N($G$2),N(T$2)&lt;=N($D51)),T$2,"")</f>
        <v/>
      </c>
      <c r="U51" s="25">
        <f>IF(AND(ISNUMBER($D51),N(U$2)&gt;=N($G$2),N(U$2)&lt;=N($D51)),U$2,"")</f>
        <v/>
      </c>
      <c r="V51" s="25">
        <f>IF(AND(ISNUMBER($D51),N(V$2)&gt;=N($G$2),N(V$2)&lt;=N($D51)),V$2,"")</f>
        <v/>
      </c>
      <c r="W51" s="25">
        <f>IF(AND(ISNUMBER($D51),N(W$2)&gt;=N($G$2),N(W$2)&lt;=N($D51)),W$2,"")</f>
        <v/>
      </c>
      <c r="X51" s="25">
        <f>IF(AND(ISNUMBER($D51),N(X$2)&gt;=N($G$2),N(X$2)&lt;=N($D51)),X$2,"")</f>
        <v/>
      </c>
      <c r="Y51" s="25">
        <f>IF(AND(ISNUMBER($D51),N(Y$2)&gt;=N($G$2),N(Y$2)&lt;=N($D51)),Y$2,"")</f>
        <v/>
      </c>
      <c r="Z51" s="25">
        <f>IF(AND(ISNUMBER($D51),N(Z$2)&gt;=N($G$2),N(Z$2)&lt;=N($D51)),Z$2,"")</f>
        <v/>
      </c>
      <c r="AA51" s="25">
        <f>IF(AND(ISNUMBER($D51),N(AA$2)&gt;=N($G$2),N(AA$2)&lt;=N($D51)),AA$2,"")</f>
        <v/>
      </c>
      <c r="AB51" s="25">
        <f>IF(AND(ISNUMBER($D51),N(AB$2)&gt;=N($G$2),N(AB$2)&lt;=N($D51)),AB$2,"")</f>
        <v/>
      </c>
      <c r="AC51" s="25">
        <f>IF(AND(ISNUMBER($D51),N(AC$2)&gt;=N($G$2),N(AC$2)&lt;=N($D51)),AC$2,"")</f>
        <v/>
      </c>
      <c r="AD51" s="25">
        <f>IF(AND(ISNUMBER($D51),N(AD$2)&gt;=N($G$2),N(AD$2)&lt;=N($D51)),AD$2,"")</f>
        <v/>
      </c>
      <c r="AE51" s="25">
        <f>IF(AND(ISNUMBER($D51),N(AE$2)&gt;=N($G$2),N(AE$2)&lt;=N($D51)),AE$2,"")</f>
        <v/>
      </c>
      <c r="AF51" s="25">
        <f>IF(AND(ISNUMBER($D51),N(AF$2)&gt;=N($G$2),N(AF$2)&lt;=N($D51)),AF$2,"")</f>
        <v/>
      </c>
      <c r="AG51" s="25">
        <f>IF(AND(ISNUMBER($D51),N(AG$2)&gt;=N($G$2),N(AG$2)&lt;=N($D51)),AG$2,"")</f>
        <v/>
      </c>
      <c r="AH51" s="25">
        <f>IF(AND(ISNUMBER($D51),N(AH$2)&gt;=N($G$2),N(AH$2)&lt;=N($D51)),AH$2,"")</f>
        <v/>
      </c>
      <c r="AI51" s="25">
        <f>IF(AND(ISNUMBER($D51),N(AI$2)&gt;=N($G$2),N(AI$2)&lt;=N($D51)),AI$2,"")</f>
        <v/>
      </c>
      <c r="AJ51" s="25">
        <f>IF(AND(ISNUMBER($D51),N(AJ$2)&gt;=N($G$2),N(AJ$2)&lt;=N($D51)),AJ$2,"")</f>
        <v/>
      </c>
      <c r="AK51" s="25">
        <f>IF(AND(ISNUMBER($D51),N(AK$2)&gt;=N($G$2),N(AK$2)&lt;=N($D51)),AK$2,"")</f>
        <v/>
      </c>
      <c r="AL51" s="25">
        <f>IF(AND(ISNUMBER($D51),N(AL$2)&gt;=N($G$2),N(AL$2)&lt;=N($D51)),AL$2,"")</f>
        <v/>
      </c>
      <c r="AM51" s="25">
        <f>IF(AND(ISNUMBER($D51),N(AM$2)&gt;=N($G$2),N(AM$2)&lt;=N($D51)),AM$2,"")</f>
        <v/>
      </c>
      <c r="AN51" s="25">
        <f>IF(AND(ISNUMBER($D51),N(AN$2)&gt;=N($G$2),N(AN$2)&lt;=N($D51)),AN$2,"")</f>
        <v/>
      </c>
      <c r="AO51" s="25">
        <f>IF(AND(ISNUMBER($D51),N(AO$2)&gt;=N($G$2),N(AO$2)&lt;=N($D51)),AO$2,"")</f>
        <v/>
      </c>
      <c r="AP51" s="25">
        <f>IF(AND(ISNUMBER($D51),N(AP$2)&gt;=N($G$2),N(AP$2)&lt;=N($D51)),AP$2,"")</f>
        <v/>
      </c>
      <c r="AQ51" s="25">
        <f>IF(AND(ISNUMBER($D51),N(AQ$2)&gt;=N($G$2),N(AQ$2)&lt;=N($D51)),AQ$2,"")</f>
        <v/>
      </c>
      <c r="AR51" s="25">
        <f>IF(AND(ISNUMBER($D51),N(AR$2)&gt;=N($G$2),N(AR$2)&lt;=N($D51)),AR$2,"")</f>
        <v/>
      </c>
      <c r="AS51" s="25">
        <f>IF(AND(ISNUMBER($D51),N(AS$2)&gt;=N($G$2),N(AS$2)&lt;=N($D51)),AS$2,"")</f>
        <v/>
      </c>
      <c r="AT51" s="25">
        <f>IF(AND(ISNUMBER($D51),N(AT$2)&gt;=N($G$2),N(AT$2)&lt;=N($D51)),AT$2,"")</f>
        <v/>
      </c>
      <c r="AU51" s="25">
        <f>IF(AND(ISNUMBER($D51),N(AU$2)&gt;=N($G$2),N(AU$2)&lt;=N($D51)),AU$2,"")</f>
        <v/>
      </c>
      <c r="AV51" s="25">
        <f>IF(AND(ISNUMBER($D51),N(AV$2)&gt;=N($G$2),N(AV$2)&lt;=N($D51)),AV$2,"")</f>
        <v/>
      </c>
      <c r="AW51" s="25">
        <f>IF(AND(ISNUMBER($D51),N(AW$2)&gt;=N($G$2),N(AW$2)&lt;=N($D51)),AW$2,"")</f>
        <v/>
      </c>
      <c r="AX51" s="25">
        <f>IF(AND(ISNUMBER($D51),N(AX$2)&gt;=N($G$2),N(AX$2)&lt;=N($D51)),AX$2,"")</f>
        <v/>
      </c>
      <c r="AY51" s="25">
        <f>IF(AND(ISNUMBER($D51),N(AY$2)&gt;=N($G$2),N(AY$2)&lt;=N($D51)),AY$2,"")</f>
        <v/>
      </c>
      <c r="AZ51" s="25">
        <f>IF(AND(ISNUMBER($D51),N(AZ$2)&gt;=N($G$2),N(AZ$2)&lt;=N($D51)),AZ$2,"")</f>
        <v/>
      </c>
      <c r="BA51" s="25">
        <f>IF(AND(ISNUMBER($D51),N(BA$2)&gt;=N($G$2),N(BA$2)&lt;=N($D51)),BA$2,"")</f>
        <v/>
      </c>
      <c r="BB51" s="25">
        <f>IF(AND(ISNUMBER($D51),N(BB$2)&gt;=N($G$2),N(BB$2)&lt;=N($D51)),BB$2,"")</f>
        <v/>
      </c>
      <c r="BC51" s="25">
        <f>IF(AND(ISNUMBER($D51),N(BC$2)&gt;=N($G$2),N(BC$2)&lt;=N($D51)),BC$2,"")</f>
        <v/>
      </c>
      <c r="BD51" s="25">
        <f>IF(AND(ISNUMBER($D51),N(BD$2)&gt;=N($G$2),N(BD$2)&lt;=N($D51)),BD$2,"")</f>
        <v/>
      </c>
      <c r="BE51" s="25">
        <f>IF(AND(ISNUMBER($D51),N(BE$2)&gt;=N($G$2),N(BE$2)&lt;=N($D51)),BE$2,"")</f>
        <v/>
      </c>
      <c r="BF51" s="25">
        <f>IF(AND(ISNUMBER($D51),N(BF$2)&gt;=N($G$2),N(BF$2)&lt;=N($D51)),BF$2,"")</f>
        <v/>
      </c>
      <c r="BG51" s="25">
        <f>IF(AND(ISNUMBER($D51),N(BG$2)&gt;=N($G$2),N(BG$2)&lt;=N($D51)),BG$2,"")</f>
        <v/>
      </c>
      <c r="BH51" s="25">
        <f>IF(AND(ISNUMBER($D51),N(BH$2)&gt;=N($G$2),N(BH$2)&lt;=N($D51)),BH$2,"")</f>
        <v/>
      </c>
      <c r="BI51" s="25">
        <f>IF(AND(ISNUMBER($D51),N(BI$2)&gt;=N($G$2),N(BI$2)&lt;=N($D51)),BI$2,"")</f>
        <v/>
      </c>
      <c r="BJ51" s="25">
        <f>IF(AND(ISNUMBER($D51),N(BJ$2)&gt;=N($G$2),N(BJ$2)&lt;=N($D51)),BJ$2,"")</f>
        <v/>
      </c>
      <c r="BK51" s="25">
        <f>IF(AND(ISNUMBER($D51),N(BK$2)&gt;=N($G$2),N(BK$2)&lt;=N($D51)),BK$2,"")</f>
        <v/>
      </c>
      <c r="BL51" s="25">
        <f>IF(AND(ISNUMBER($D51),N(BL$2)&gt;=N($G$2),N(BL$2)&lt;=N($D51)),BL$2,"")</f>
        <v/>
      </c>
      <c r="BM51" s="25">
        <f>IF(AND(ISNUMBER($D51),N(BM$2)&gt;=N($G$2),N(BM$2)&lt;=N($D51)),BM$2,"")</f>
        <v/>
      </c>
      <c r="BN51" s="25">
        <f>IF(AND(ISNUMBER($D51),N(BN$2)&gt;=N($G$2),N(BN$2)&lt;=N($D51)),BN$2,"")</f>
        <v/>
      </c>
      <c r="BO51" s="25">
        <f>IF(AND(ISNUMBER($D51),N(BO$2)&gt;=N($G$2),N(BO$2)&lt;=N($D51)),BO$2,"")</f>
        <v/>
      </c>
    </row>
    <row r="52" ht="20" customHeight="1">
      <c r="A52" s="26" t="inlineStr">
        <is>
          <t>实际</t>
        </is>
      </c>
      <c r="B52" s="26" t="inlineStr">
        <is>
          <t>第一期</t>
        </is>
      </c>
      <c r="C52" s="27" t="inlineStr">
        <is>
          <t>PAB142·工装图纸绘制</t>
        </is>
      </c>
      <c r="D52" s="28">
        <f>'时间节点计划表'!E26</f>
        <v/>
      </c>
      <c r="E52" s="28">
        <f>IF(COUNT('时间节点计划表'!F26),'时间节点计划表'!F26,"")</f>
        <v/>
      </c>
      <c r="F52" s="29">
        <f>IF(OR(D52="",E52=""),"待填",E52-D52)</f>
        <v/>
      </c>
      <c r="G52" s="25">
        <f>IF(AND(ISNUMBER($E52),N(G$2)&gt;=N($G$2),N(G$2)&lt;=N($E52)),G$2,"")</f>
        <v/>
      </c>
      <c r="H52" s="25">
        <f>IF(AND(ISNUMBER($E52),N(H$2)&gt;=N($G$2),N(H$2)&lt;=N($E52)),H$2,"")</f>
        <v/>
      </c>
      <c r="I52" s="25">
        <f>IF(AND(ISNUMBER($E52),N(I$2)&gt;=N($G$2),N(I$2)&lt;=N($E52)),I$2,"")</f>
        <v/>
      </c>
      <c r="J52" s="25">
        <f>IF(AND(ISNUMBER($E52),N(J$2)&gt;=N($G$2),N(J$2)&lt;=N($E52)),J$2,"")</f>
        <v/>
      </c>
      <c r="K52" s="25">
        <f>IF(AND(ISNUMBER($E52),N(K$2)&gt;=N($G$2),N(K$2)&lt;=N($E52)),K$2,"")</f>
        <v/>
      </c>
      <c r="L52" s="25">
        <f>IF(AND(ISNUMBER($E52),N(L$2)&gt;=N($G$2),N(L$2)&lt;=N($E52)),L$2,"")</f>
        <v/>
      </c>
      <c r="M52" s="25">
        <f>IF(AND(ISNUMBER($E52),N(M$2)&gt;=N($G$2),N(M$2)&lt;=N($E52)),M$2,"")</f>
        <v/>
      </c>
      <c r="N52" s="25">
        <f>IF(AND(ISNUMBER($E52),N(N$2)&gt;=N($G$2),N(N$2)&lt;=N($E52)),N$2,"")</f>
        <v/>
      </c>
      <c r="O52" s="25">
        <f>IF(AND(ISNUMBER($E52),N(O$2)&gt;=N($G$2),N(O$2)&lt;=N($E52)),O$2,"")</f>
        <v/>
      </c>
      <c r="P52" s="25">
        <f>IF(AND(ISNUMBER($E52),N(P$2)&gt;=N($G$2),N(P$2)&lt;=N($E52)),P$2,"")</f>
        <v/>
      </c>
      <c r="Q52" s="25">
        <f>IF(AND(ISNUMBER($E52),N(Q$2)&gt;=N($G$2),N(Q$2)&lt;=N($E52)),Q$2,"")</f>
        <v/>
      </c>
      <c r="R52" s="25">
        <f>IF(AND(ISNUMBER($E52),N(R$2)&gt;=N($G$2),N(R$2)&lt;=N($E52)),R$2,"")</f>
        <v/>
      </c>
      <c r="S52" s="25">
        <f>IF(AND(ISNUMBER($E52),N(S$2)&gt;=N($G$2),N(S$2)&lt;=N($E52)),S$2,"")</f>
        <v/>
      </c>
      <c r="T52" s="25">
        <f>IF(AND(ISNUMBER($E52),N(T$2)&gt;=N($G$2),N(T$2)&lt;=N($E52)),T$2,"")</f>
        <v/>
      </c>
      <c r="U52" s="25">
        <f>IF(AND(ISNUMBER($E52),N(U$2)&gt;=N($G$2),N(U$2)&lt;=N($E52)),U$2,"")</f>
        <v/>
      </c>
      <c r="V52" s="25">
        <f>IF(AND(ISNUMBER($E52),N(V$2)&gt;=N($G$2),N(V$2)&lt;=N($E52)),V$2,"")</f>
        <v/>
      </c>
      <c r="W52" s="25">
        <f>IF(AND(ISNUMBER($E52),N(W$2)&gt;=N($G$2),N(W$2)&lt;=N($E52)),W$2,"")</f>
        <v/>
      </c>
      <c r="X52" s="25">
        <f>IF(AND(ISNUMBER($E52),N(X$2)&gt;=N($G$2),N(X$2)&lt;=N($E52)),X$2,"")</f>
        <v/>
      </c>
      <c r="Y52" s="25">
        <f>IF(AND(ISNUMBER($E52),N(Y$2)&gt;=N($G$2),N(Y$2)&lt;=N($E52)),Y$2,"")</f>
        <v/>
      </c>
      <c r="Z52" s="25">
        <f>IF(AND(ISNUMBER($E52),N(Z$2)&gt;=N($G$2),N(Z$2)&lt;=N($E52)),Z$2,"")</f>
        <v/>
      </c>
      <c r="AA52" s="25">
        <f>IF(AND(ISNUMBER($E52),N(AA$2)&gt;=N($G$2),N(AA$2)&lt;=N($E52)),AA$2,"")</f>
        <v/>
      </c>
      <c r="AB52" s="25">
        <f>IF(AND(ISNUMBER($E52),N(AB$2)&gt;=N($G$2),N(AB$2)&lt;=N($E52)),AB$2,"")</f>
        <v/>
      </c>
      <c r="AC52" s="25">
        <f>IF(AND(ISNUMBER($E52),N(AC$2)&gt;=N($G$2),N(AC$2)&lt;=N($E52)),AC$2,"")</f>
        <v/>
      </c>
      <c r="AD52" s="25">
        <f>IF(AND(ISNUMBER($E52),N(AD$2)&gt;=N($G$2),N(AD$2)&lt;=N($E52)),AD$2,"")</f>
        <v/>
      </c>
      <c r="AE52" s="25">
        <f>IF(AND(ISNUMBER($E52),N(AE$2)&gt;=N($G$2),N(AE$2)&lt;=N($E52)),AE$2,"")</f>
        <v/>
      </c>
      <c r="AF52" s="25">
        <f>IF(AND(ISNUMBER($E52),N(AF$2)&gt;=N($G$2),N(AF$2)&lt;=N($E52)),AF$2,"")</f>
        <v/>
      </c>
      <c r="AG52" s="25">
        <f>IF(AND(ISNUMBER($E52),N(AG$2)&gt;=N($G$2),N(AG$2)&lt;=N($E52)),AG$2,"")</f>
        <v/>
      </c>
      <c r="AH52" s="25">
        <f>IF(AND(ISNUMBER($E52),N(AH$2)&gt;=N($G$2),N(AH$2)&lt;=N($E52)),AH$2,"")</f>
        <v/>
      </c>
      <c r="AI52" s="25">
        <f>IF(AND(ISNUMBER($E52),N(AI$2)&gt;=N($G$2),N(AI$2)&lt;=N($E52)),AI$2,"")</f>
        <v/>
      </c>
      <c r="AJ52" s="25">
        <f>IF(AND(ISNUMBER($E52),N(AJ$2)&gt;=N($G$2),N(AJ$2)&lt;=N($E52)),AJ$2,"")</f>
        <v/>
      </c>
      <c r="AK52" s="25">
        <f>IF(AND(ISNUMBER($E52),N(AK$2)&gt;=N($G$2),N(AK$2)&lt;=N($E52)),AK$2,"")</f>
        <v/>
      </c>
      <c r="AL52" s="25">
        <f>IF(AND(ISNUMBER($E52),N(AL$2)&gt;=N($G$2),N(AL$2)&lt;=N($E52)),AL$2,"")</f>
        <v/>
      </c>
      <c r="AM52" s="25">
        <f>IF(AND(ISNUMBER($E52),N(AM$2)&gt;=N($G$2),N(AM$2)&lt;=N($E52)),AM$2,"")</f>
        <v/>
      </c>
      <c r="AN52" s="25">
        <f>IF(AND(ISNUMBER($E52),N(AN$2)&gt;=N($G$2),N(AN$2)&lt;=N($E52)),AN$2,"")</f>
        <v/>
      </c>
      <c r="AO52" s="25">
        <f>IF(AND(ISNUMBER($E52),N(AO$2)&gt;=N($G$2),N(AO$2)&lt;=N($E52)),AO$2,"")</f>
        <v/>
      </c>
      <c r="AP52" s="25">
        <f>IF(AND(ISNUMBER($E52),N(AP$2)&gt;=N($G$2),N(AP$2)&lt;=N($E52)),AP$2,"")</f>
        <v/>
      </c>
      <c r="AQ52" s="25">
        <f>IF(AND(ISNUMBER($E52),N(AQ$2)&gt;=N($G$2),N(AQ$2)&lt;=N($E52)),AQ$2,"")</f>
        <v/>
      </c>
      <c r="AR52" s="25">
        <f>IF(AND(ISNUMBER($E52),N(AR$2)&gt;=N($G$2),N(AR$2)&lt;=N($E52)),AR$2,"")</f>
        <v/>
      </c>
      <c r="AS52" s="25">
        <f>IF(AND(ISNUMBER($E52),N(AS$2)&gt;=N($G$2),N(AS$2)&lt;=N($E52)),AS$2,"")</f>
        <v/>
      </c>
      <c r="AT52" s="25">
        <f>IF(AND(ISNUMBER($E52),N(AT$2)&gt;=N($G$2),N(AT$2)&lt;=N($E52)),AT$2,"")</f>
        <v/>
      </c>
      <c r="AU52" s="25">
        <f>IF(AND(ISNUMBER($E52),N(AU$2)&gt;=N($G$2),N(AU$2)&lt;=N($E52)),AU$2,"")</f>
        <v/>
      </c>
      <c r="AV52" s="25">
        <f>IF(AND(ISNUMBER($E52),N(AV$2)&gt;=N($G$2),N(AV$2)&lt;=N($E52)),AV$2,"")</f>
        <v/>
      </c>
      <c r="AW52" s="25">
        <f>IF(AND(ISNUMBER($E52),N(AW$2)&gt;=N($G$2),N(AW$2)&lt;=N($E52)),AW$2,"")</f>
        <v/>
      </c>
      <c r="AX52" s="25">
        <f>IF(AND(ISNUMBER($E52),N(AX$2)&gt;=N($G$2),N(AX$2)&lt;=N($E52)),AX$2,"")</f>
        <v/>
      </c>
      <c r="AY52" s="25">
        <f>IF(AND(ISNUMBER($E52),N(AY$2)&gt;=N($G$2),N(AY$2)&lt;=N($E52)),AY$2,"")</f>
        <v/>
      </c>
      <c r="AZ52" s="25">
        <f>IF(AND(ISNUMBER($E52),N(AZ$2)&gt;=N($G$2),N(AZ$2)&lt;=N($E52)),AZ$2,"")</f>
        <v/>
      </c>
      <c r="BA52" s="25">
        <f>IF(AND(ISNUMBER($E52),N(BA$2)&gt;=N($G$2),N(BA$2)&lt;=N($E52)),BA$2,"")</f>
        <v/>
      </c>
      <c r="BB52" s="25">
        <f>IF(AND(ISNUMBER($E52),N(BB$2)&gt;=N($G$2),N(BB$2)&lt;=N($E52)),BB$2,"")</f>
        <v/>
      </c>
      <c r="BC52" s="25">
        <f>IF(AND(ISNUMBER($E52),N(BC$2)&gt;=N($G$2),N(BC$2)&lt;=N($E52)),BC$2,"")</f>
        <v/>
      </c>
      <c r="BD52" s="25">
        <f>IF(AND(ISNUMBER($E52),N(BD$2)&gt;=N($G$2),N(BD$2)&lt;=N($E52)),BD$2,"")</f>
        <v/>
      </c>
      <c r="BE52" s="25">
        <f>IF(AND(ISNUMBER($E52),N(BE$2)&gt;=N($G$2),N(BE$2)&lt;=N($E52)),BE$2,"")</f>
        <v/>
      </c>
      <c r="BF52" s="25">
        <f>IF(AND(ISNUMBER($E52),N(BF$2)&gt;=N($G$2),N(BF$2)&lt;=N($E52)),BF$2,"")</f>
        <v/>
      </c>
      <c r="BG52" s="25">
        <f>IF(AND(ISNUMBER($E52),N(BG$2)&gt;=N($G$2),N(BG$2)&lt;=N($E52)),BG$2,"")</f>
        <v/>
      </c>
      <c r="BH52" s="25">
        <f>IF(AND(ISNUMBER($E52),N(BH$2)&gt;=N($G$2),N(BH$2)&lt;=N($E52)),BH$2,"")</f>
        <v/>
      </c>
      <c r="BI52" s="25">
        <f>IF(AND(ISNUMBER($E52),N(BI$2)&gt;=N($G$2),N(BI$2)&lt;=N($E52)),BI$2,"")</f>
        <v/>
      </c>
      <c r="BJ52" s="25">
        <f>IF(AND(ISNUMBER($E52),N(BJ$2)&gt;=N($G$2),N(BJ$2)&lt;=N($E52)),BJ$2,"")</f>
        <v/>
      </c>
      <c r="BK52" s="25">
        <f>IF(AND(ISNUMBER($E52),N(BK$2)&gt;=N($G$2),N(BK$2)&lt;=N($E52)),BK$2,"")</f>
        <v/>
      </c>
      <c r="BL52" s="25">
        <f>IF(AND(ISNUMBER($E52),N(BL$2)&gt;=N($G$2),N(BL$2)&lt;=N($E52)),BL$2,"")</f>
        <v/>
      </c>
      <c r="BM52" s="25">
        <f>IF(AND(ISNUMBER($E52),N(BM$2)&gt;=N($G$2),N(BM$2)&lt;=N($E52)),BM$2,"")</f>
        <v/>
      </c>
      <c r="BN52" s="25">
        <f>IF(AND(ISNUMBER($E52),N(BN$2)&gt;=N($G$2),N(BN$2)&lt;=N($E52)),BN$2,"")</f>
        <v/>
      </c>
      <c r="BO52" s="25">
        <f>IF(AND(ISNUMBER($E52),N(BO$2)&gt;=N($G$2),N(BO$2)&lt;=N($E52)),BO$2,"")</f>
        <v/>
      </c>
    </row>
    <row r="53" ht="20" customHeight="1">
      <c r="A53" s="21" t="inlineStr">
        <is>
          <t>预估</t>
        </is>
      </c>
      <c r="B53" s="21" t="inlineStr">
        <is>
          <t>第一期</t>
        </is>
      </c>
      <c r="C53" s="22" t="inlineStr">
        <is>
          <t>PAB142·工装实物到位</t>
        </is>
      </c>
      <c r="D53" s="23">
        <f>'时间节点计划表'!E27</f>
        <v/>
      </c>
      <c r="E53" s="23">
        <f>IF(COUNT('时间节点计划表'!F27),'时间节点计划表'!F27,"")</f>
        <v/>
      </c>
      <c r="F53" s="24" t="inlineStr"/>
      <c r="G53" s="25">
        <f>IF(AND(ISNUMBER($D53),N(G$2)&gt;=N($G$2),N(G$2)&lt;=N($D53)),G$2,"")</f>
        <v/>
      </c>
      <c r="H53" s="25">
        <f>IF(AND(ISNUMBER($D53),N(H$2)&gt;=N($G$2),N(H$2)&lt;=N($D53)),H$2,"")</f>
        <v/>
      </c>
      <c r="I53" s="25">
        <f>IF(AND(ISNUMBER($D53),N(I$2)&gt;=N($G$2),N(I$2)&lt;=N($D53)),I$2,"")</f>
        <v/>
      </c>
      <c r="J53" s="25">
        <f>IF(AND(ISNUMBER($D53),N(J$2)&gt;=N($G$2),N(J$2)&lt;=N($D53)),J$2,"")</f>
        <v/>
      </c>
      <c r="K53" s="25">
        <f>IF(AND(ISNUMBER($D53),N(K$2)&gt;=N($G$2),N(K$2)&lt;=N($D53)),K$2,"")</f>
        <v/>
      </c>
      <c r="L53" s="25">
        <f>IF(AND(ISNUMBER($D53),N(L$2)&gt;=N($G$2),N(L$2)&lt;=N($D53)),L$2,"")</f>
        <v/>
      </c>
      <c r="M53" s="25">
        <f>IF(AND(ISNUMBER($D53),N(M$2)&gt;=N($G$2),N(M$2)&lt;=N($D53)),M$2,"")</f>
        <v/>
      </c>
      <c r="N53" s="25">
        <f>IF(AND(ISNUMBER($D53),N(N$2)&gt;=N($G$2),N(N$2)&lt;=N($D53)),N$2,"")</f>
        <v/>
      </c>
      <c r="O53" s="25">
        <f>IF(AND(ISNUMBER($D53),N(O$2)&gt;=N($G$2),N(O$2)&lt;=N($D53)),O$2,"")</f>
        <v/>
      </c>
      <c r="P53" s="25">
        <f>IF(AND(ISNUMBER($D53),N(P$2)&gt;=N($G$2),N(P$2)&lt;=N($D53)),P$2,"")</f>
        <v/>
      </c>
      <c r="Q53" s="25">
        <f>IF(AND(ISNUMBER($D53),N(Q$2)&gt;=N($G$2),N(Q$2)&lt;=N($D53)),Q$2,"")</f>
        <v/>
      </c>
      <c r="R53" s="25">
        <f>IF(AND(ISNUMBER($D53),N(R$2)&gt;=N($G$2),N(R$2)&lt;=N($D53)),R$2,"")</f>
        <v/>
      </c>
      <c r="S53" s="25">
        <f>IF(AND(ISNUMBER($D53),N(S$2)&gt;=N($G$2),N(S$2)&lt;=N($D53)),S$2,"")</f>
        <v/>
      </c>
      <c r="T53" s="25">
        <f>IF(AND(ISNUMBER($D53),N(T$2)&gt;=N($G$2),N(T$2)&lt;=N($D53)),T$2,"")</f>
        <v/>
      </c>
      <c r="U53" s="25">
        <f>IF(AND(ISNUMBER($D53),N(U$2)&gt;=N($G$2),N(U$2)&lt;=N($D53)),U$2,"")</f>
        <v/>
      </c>
      <c r="V53" s="25">
        <f>IF(AND(ISNUMBER($D53),N(V$2)&gt;=N($G$2),N(V$2)&lt;=N($D53)),V$2,"")</f>
        <v/>
      </c>
      <c r="W53" s="25">
        <f>IF(AND(ISNUMBER($D53),N(W$2)&gt;=N($G$2),N(W$2)&lt;=N($D53)),W$2,"")</f>
        <v/>
      </c>
      <c r="X53" s="25">
        <f>IF(AND(ISNUMBER($D53),N(X$2)&gt;=N($G$2),N(X$2)&lt;=N($D53)),X$2,"")</f>
        <v/>
      </c>
      <c r="Y53" s="25">
        <f>IF(AND(ISNUMBER($D53),N(Y$2)&gt;=N($G$2),N(Y$2)&lt;=N($D53)),Y$2,"")</f>
        <v/>
      </c>
      <c r="Z53" s="25">
        <f>IF(AND(ISNUMBER($D53),N(Z$2)&gt;=N($G$2),N(Z$2)&lt;=N($D53)),Z$2,"")</f>
        <v/>
      </c>
      <c r="AA53" s="25">
        <f>IF(AND(ISNUMBER($D53),N(AA$2)&gt;=N($G$2),N(AA$2)&lt;=N($D53)),AA$2,"")</f>
        <v/>
      </c>
      <c r="AB53" s="25">
        <f>IF(AND(ISNUMBER($D53),N(AB$2)&gt;=N($G$2),N(AB$2)&lt;=N($D53)),AB$2,"")</f>
        <v/>
      </c>
      <c r="AC53" s="25">
        <f>IF(AND(ISNUMBER($D53),N(AC$2)&gt;=N($G$2),N(AC$2)&lt;=N($D53)),AC$2,"")</f>
        <v/>
      </c>
      <c r="AD53" s="25">
        <f>IF(AND(ISNUMBER($D53),N(AD$2)&gt;=N($G$2),N(AD$2)&lt;=N($D53)),AD$2,"")</f>
        <v/>
      </c>
      <c r="AE53" s="25">
        <f>IF(AND(ISNUMBER($D53),N(AE$2)&gt;=N($G$2),N(AE$2)&lt;=N($D53)),AE$2,"")</f>
        <v/>
      </c>
      <c r="AF53" s="25">
        <f>IF(AND(ISNUMBER($D53),N(AF$2)&gt;=N($G$2),N(AF$2)&lt;=N($D53)),AF$2,"")</f>
        <v/>
      </c>
      <c r="AG53" s="25">
        <f>IF(AND(ISNUMBER($D53),N(AG$2)&gt;=N($G$2),N(AG$2)&lt;=N($D53)),AG$2,"")</f>
        <v/>
      </c>
      <c r="AH53" s="25">
        <f>IF(AND(ISNUMBER($D53),N(AH$2)&gt;=N($G$2),N(AH$2)&lt;=N($D53)),AH$2,"")</f>
        <v/>
      </c>
      <c r="AI53" s="25">
        <f>IF(AND(ISNUMBER($D53),N(AI$2)&gt;=N($G$2),N(AI$2)&lt;=N($D53)),AI$2,"")</f>
        <v/>
      </c>
      <c r="AJ53" s="25">
        <f>IF(AND(ISNUMBER($D53),N(AJ$2)&gt;=N($G$2),N(AJ$2)&lt;=N($D53)),AJ$2,"")</f>
        <v/>
      </c>
      <c r="AK53" s="25">
        <f>IF(AND(ISNUMBER($D53),N(AK$2)&gt;=N($G$2),N(AK$2)&lt;=N($D53)),AK$2,"")</f>
        <v/>
      </c>
      <c r="AL53" s="25">
        <f>IF(AND(ISNUMBER($D53),N(AL$2)&gt;=N($G$2),N(AL$2)&lt;=N($D53)),AL$2,"")</f>
        <v/>
      </c>
      <c r="AM53" s="25">
        <f>IF(AND(ISNUMBER($D53),N(AM$2)&gt;=N($G$2),N(AM$2)&lt;=N($D53)),AM$2,"")</f>
        <v/>
      </c>
      <c r="AN53" s="25">
        <f>IF(AND(ISNUMBER($D53),N(AN$2)&gt;=N($G$2),N(AN$2)&lt;=N($D53)),AN$2,"")</f>
        <v/>
      </c>
      <c r="AO53" s="25">
        <f>IF(AND(ISNUMBER($D53),N(AO$2)&gt;=N($G$2),N(AO$2)&lt;=N($D53)),AO$2,"")</f>
        <v/>
      </c>
      <c r="AP53" s="25">
        <f>IF(AND(ISNUMBER($D53),N(AP$2)&gt;=N($G$2),N(AP$2)&lt;=N($D53)),AP$2,"")</f>
        <v/>
      </c>
      <c r="AQ53" s="25">
        <f>IF(AND(ISNUMBER($D53),N(AQ$2)&gt;=N($G$2),N(AQ$2)&lt;=N($D53)),AQ$2,"")</f>
        <v/>
      </c>
      <c r="AR53" s="25">
        <f>IF(AND(ISNUMBER($D53),N(AR$2)&gt;=N($G$2),N(AR$2)&lt;=N($D53)),AR$2,"")</f>
        <v/>
      </c>
      <c r="AS53" s="25">
        <f>IF(AND(ISNUMBER($D53),N(AS$2)&gt;=N($G$2),N(AS$2)&lt;=N($D53)),AS$2,"")</f>
        <v/>
      </c>
      <c r="AT53" s="25">
        <f>IF(AND(ISNUMBER($D53),N(AT$2)&gt;=N($G$2),N(AT$2)&lt;=N($D53)),AT$2,"")</f>
        <v/>
      </c>
      <c r="AU53" s="25">
        <f>IF(AND(ISNUMBER($D53),N(AU$2)&gt;=N($G$2),N(AU$2)&lt;=N($D53)),AU$2,"")</f>
        <v/>
      </c>
      <c r="AV53" s="25">
        <f>IF(AND(ISNUMBER($D53),N(AV$2)&gt;=N($G$2),N(AV$2)&lt;=N($D53)),AV$2,"")</f>
        <v/>
      </c>
      <c r="AW53" s="25">
        <f>IF(AND(ISNUMBER($D53),N(AW$2)&gt;=N($G$2),N(AW$2)&lt;=N($D53)),AW$2,"")</f>
        <v/>
      </c>
      <c r="AX53" s="25">
        <f>IF(AND(ISNUMBER($D53),N(AX$2)&gt;=N($G$2),N(AX$2)&lt;=N($D53)),AX$2,"")</f>
        <v/>
      </c>
      <c r="AY53" s="25">
        <f>IF(AND(ISNUMBER($D53),N(AY$2)&gt;=N($G$2),N(AY$2)&lt;=N($D53)),AY$2,"")</f>
        <v/>
      </c>
      <c r="AZ53" s="25">
        <f>IF(AND(ISNUMBER($D53),N(AZ$2)&gt;=N($G$2),N(AZ$2)&lt;=N($D53)),AZ$2,"")</f>
        <v/>
      </c>
      <c r="BA53" s="25">
        <f>IF(AND(ISNUMBER($D53),N(BA$2)&gt;=N($G$2),N(BA$2)&lt;=N($D53)),BA$2,"")</f>
        <v/>
      </c>
      <c r="BB53" s="25">
        <f>IF(AND(ISNUMBER($D53),N(BB$2)&gt;=N($G$2),N(BB$2)&lt;=N($D53)),BB$2,"")</f>
        <v/>
      </c>
      <c r="BC53" s="25">
        <f>IF(AND(ISNUMBER($D53),N(BC$2)&gt;=N($G$2),N(BC$2)&lt;=N($D53)),BC$2,"")</f>
        <v/>
      </c>
      <c r="BD53" s="25">
        <f>IF(AND(ISNUMBER($D53),N(BD$2)&gt;=N($G$2),N(BD$2)&lt;=N($D53)),BD$2,"")</f>
        <v/>
      </c>
      <c r="BE53" s="25">
        <f>IF(AND(ISNUMBER($D53),N(BE$2)&gt;=N($G$2),N(BE$2)&lt;=N($D53)),BE$2,"")</f>
        <v/>
      </c>
      <c r="BF53" s="25">
        <f>IF(AND(ISNUMBER($D53),N(BF$2)&gt;=N($G$2),N(BF$2)&lt;=N($D53)),BF$2,"")</f>
        <v/>
      </c>
      <c r="BG53" s="25">
        <f>IF(AND(ISNUMBER($D53),N(BG$2)&gt;=N($G$2),N(BG$2)&lt;=N($D53)),BG$2,"")</f>
        <v/>
      </c>
      <c r="BH53" s="25">
        <f>IF(AND(ISNUMBER($D53),N(BH$2)&gt;=N($G$2),N(BH$2)&lt;=N($D53)),BH$2,"")</f>
        <v/>
      </c>
      <c r="BI53" s="25">
        <f>IF(AND(ISNUMBER($D53),N(BI$2)&gt;=N($G$2),N(BI$2)&lt;=N($D53)),BI$2,"")</f>
        <v/>
      </c>
      <c r="BJ53" s="25">
        <f>IF(AND(ISNUMBER($D53),N(BJ$2)&gt;=N($G$2),N(BJ$2)&lt;=N($D53)),BJ$2,"")</f>
        <v/>
      </c>
      <c r="BK53" s="25">
        <f>IF(AND(ISNUMBER($D53),N(BK$2)&gt;=N($G$2),N(BK$2)&lt;=N($D53)),BK$2,"")</f>
        <v/>
      </c>
      <c r="BL53" s="25">
        <f>IF(AND(ISNUMBER($D53),N(BL$2)&gt;=N($G$2),N(BL$2)&lt;=N($D53)),BL$2,"")</f>
        <v/>
      </c>
      <c r="BM53" s="25">
        <f>IF(AND(ISNUMBER($D53),N(BM$2)&gt;=N($G$2),N(BM$2)&lt;=N($D53)),BM$2,"")</f>
        <v/>
      </c>
      <c r="BN53" s="25">
        <f>IF(AND(ISNUMBER($D53),N(BN$2)&gt;=N($G$2),N(BN$2)&lt;=N($D53)),BN$2,"")</f>
        <v/>
      </c>
      <c r="BO53" s="25">
        <f>IF(AND(ISNUMBER($D53),N(BO$2)&gt;=N($G$2),N(BO$2)&lt;=N($D53)),BO$2,"")</f>
        <v/>
      </c>
    </row>
    <row r="54" ht="20" customHeight="1">
      <c r="A54" s="26" t="inlineStr">
        <is>
          <t>实际</t>
        </is>
      </c>
      <c r="B54" s="26" t="inlineStr">
        <is>
          <t>第一期</t>
        </is>
      </c>
      <c r="C54" s="27" t="inlineStr">
        <is>
          <t>PAB142·工装实物到位</t>
        </is>
      </c>
      <c r="D54" s="28">
        <f>'时间节点计划表'!E27</f>
        <v/>
      </c>
      <c r="E54" s="28">
        <f>IF(COUNT('时间节点计划表'!F27),'时间节点计划表'!F27,"")</f>
        <v/>
      </c>
      <c r="F54" s="29">
        <f>IF(OR(D54="",E54=""),"待填",E54-D54)</f>
        <v/>
      </c>
      <c r="G54" s="25">
        <f>IF(AND(ISNUMBER($E54),N(G$2)&gt;=N($G$2),N(G$2)&lt;=N($E54)),G$2,"")</f>
        <v/>
      </c>
      <c r="H54" s="25">
        <f>IF(AND(ISNUMBER($E54),N(H$2)&gt;=N($G$2),N(H$2)&lt;=N($E54)),H$2,"")</f>
        <v/>
      </c>
      <c r="I54" s="25">
        <f>IF(AND(ISNUMBER($E54),N(I$2)&gt;=N($G$2),N(I$2)&lt;=N($E54)),I$2,"")</f>
        <v/>
      </c>
      <c r="J54" s="25">
        <f>IF(AND(ISNUMBER($E54),N(J$2)&gt;=N($G$2),N(J$2)&lt;=N($E54)),J$2,"")</f>
        <v/>
      </c>
      <c r="K54" s="25">
        <f>IF(AND(ISNUMBER($E54),N(K$2)&gt;=N($G$2),N(K$2)&lt;=N($E54)),K$2,"")</f>
        <v/>
      </c>
      <c r="L54" s="25">
        <f>IF(AND(ISNUMBER($E54),N(L$2)&gt;=N($G$2),N(L$2)&lt;=N($E54)),L$2,"")</f>
        <v/>
      </c>
      <c r="M54" s="25">
        <f>IF(AND(ISNUMBER($E54),N(M$2)&gt;=N($G$2),N(M$2)&lt;=N($E54)),M$2,"")</f>
        <v/>
      </c>
      <c r="N54" s="25">
        <f>IF(AND(ISNUMBER($E54),N(N$2)&gt;=N($G$2),N(N$2)&lt;=N($E54)),N$2,"")</f>
        <v/>
      </c>
      <c r="O54" s="25">
        <f>IF(AND(ISNUMBER($E54),N(O$2)&gt;=N($G$2),N(O$2)&lt;=N($E54)),O$2,"")</f>
        <v/>
      </c>
      <c r="P54" s="25">
        <f>IF(AND(ISNUMBER($E54),N(P$2)&gt;=N($G$2),N(P$2)&lt;=N($E54)),P$2,"")</f>
        <v/>
      </c>
      <c r="Q54" s="25">
        <f>IF(AND(ISNUMBER($E54),N(Q$2)&gt;=N($G$2),N(Q$2)&lt;=N($E54)),Q$2,"")</f>
        <v/>
      </c>
      <c r="R54" s="25">
        <f>IF(AND(ISNUMBER($E54),N(R$2)&gt;=N($G$2),N(R$2)&lt;=N($E54)),R$2,"")</f>
        <v/>
      </c>
      <c r="S54" s="25">
        <f>IF(AND(ISNUMBER($E54),N(S$2)&gt;=N($G$2),N(S$2)&lt;=N($E54)),S$2,"")</f>
        <v/>
      </c>
      <c r="T54" s="25">
        <f>IF(AND(ISNUMBER($E54),N(T$2)&gt;=N($G$2),N(T$2)&lt;=N($E54)),T$2,"")</f>
        <v/>
      </c>
      <c r="U54" s="25">
        <f>IF(AND(ISNUMBER($E54),N(U$2)&gt;=N($G$2),N(U$2)&lt;=N($E54)),U$2,"")</f>
        <v/>
      </c>
      <c r="V54" s="25">
        <f>IF(AND(ISNUMBER($E54),N(V$2)&gt;=N($G$2),N(V$2)&lt;=N($E54)),V$2,"")</f>
        <v/>
      </c>
      <c r="W54" s="25">
        <f>IF(AND(ISNUMBER($E54),N(W$2)&gt;=N($G$2),N(W$2)&lt;=N($E54)),W$2,"")</f>
        <v/>
      </c>
      <c r="X54" s="25">
        <f>IF(AND(ISNUMBER($E54),N(X$2)&gt;=N($G$2),N(X$2)&lt;=N($E54)),X$2,"")</f>
        <v/>
      </c>
      <c r="Y54" s="25">
        <f>IF(AND(ISNUMBER($E54),N(Y$2)&gt;=N($G$2),N(Y$2)&lt;=N($E54)),Y$2,"")</f>
        <v/>
      </c>
      <c r="Z54" s="25">
        <f>IF(AND(ISNUMBER($E54),N(Z$2)&gt;=N($G$2),N(Z$2)&lt;=N($E54)),Z$2,"")</f>
        <v/>
      </c>
      <c r="AA54" s="25">
        <f>IF(AND(ISNUMBER($E54),N(AA$2)&gt;=N($G$2),N(AA$2)&lt;=N($E54)),AA$2,"")</f>
        <v/>
      </c>
      <c r="AB54" s="25">
        <f>IF(AND(ISNUMBER($E54),N(AB$2)&gt;=N($G$2),N(AB$2)&lt;=N($E54)),AB$2,"")</f>
        <v/>
      </c>
      <c r="AC54" s="25">
        <f>IF(AND(ISNUMBER($E54),N(AC$2)&gt;=N($G$2),N(AC$2)&lt;=N($E54)),AC$2,"")</f>
        <v/>
      </c>
      <c r="AD54" s="25">
        <f>IF(AND(ISNUMBER($E54),N(AD$2)&gt;=N($G$2),N(AD$2)&lt;=N($E54)),AD$2,"")</f>
        <v/>
      </c>
      <c r="AE54" s="25">
        <f>IF(AND(ISNUMBER($E54),N(AE$2)&gt;=N($G$2),N(AE$2)&lt;=N($E54)),AE$2,"")</f>
        <v/>
      </c>
      <c r="AF54" s="25">
        <f>IF(AND(ISNUMBER($E54),N(AF$2)&gt;=N($G$2),N(AF$2)&lt;=N($E54)),AF$2,"")</f>
        <v/>
      </c>
      <c r="AG54" s="25">
        <f>IF(AND(ISNUMBER($E54),N(AG$2)&gt;=N($G$2),N(AG$2)&lt;=N($E54)),AG$2,"")</f>
        <v/>
      </c>
      <c r="AH54" s="25">
        <f>IF(AND(ISNUMBER($E54),N(AH$2)&gt;=N($G$2),N(AH$2)&lt;=N($E54)),AH$2,"")</f>
        <v/>
      </c>
      <c r="AI54" s="25">
        <f>IF(AND(ISNUMBER($E54),N(AI$2)&gt;=N($G$2),N(AI$2)&lt;=N($E54)),AI$2,"")</f>
        <v/>
      </c>
      <c r="AJ54" s="25">
        <f>IF(AND(ISNUMBER($E54),N(AJ$2)&gt;=N($G$2),N(AJ$2)&lt;=N($E54)),AJ$2,"")</f>
        <v/>
      </c>
      <c r="AK54" s="25">
        <f>IF(AND(ISNUMBER($E54),N(AK$2)&gt;=N($G$2),N(AK$2)&lt;=N($E54)),AK$2,"")</f>
        <v/>
      </c>
      <c r="AL54" s="25">
        <f>IF(AND(ISNUMBER($E54),N(AL$2)&gt;=N($G$2),N(AL$2)&lt;=N($E54)),AL$2,"")</f>
        <v/>
      </c>
      <c r="AM54" s="25">
        <f>IF(AND(ISNUMBER($E54),N(AM$2)&gt;=N($G$2),N(AM$2)&lt;=N($E54)),AM$2,"")</f>
        <v/>
      </c>
      <c r="AN54" s="25">
        <f>IF(AND(ISNUMBER($E54),N(AN$2)&gt;=N($G$2),N(AN$2)&lt;=N($E54)),AN$2,"")</f>
        <v/>
      </c>
      <c r="AO54" s="25">
        <f>IF(AND(ISNUMBER($E54),N(AO$2)&gt;=N($G$2),N(AO$2)&lt;=N($E54)),AO$2,"")</f>
        <v/>
      </c>
      <c r="AP54" s="25">
        <f>IF(AND(ISNUMBER($E54),N(AP$2)&gt;=N($G$2),N(AP$2)&lt;=N($E54)),AP$2,"")</f>
        <v/>
      </c>
      <c r="AQ54" s="25">
        <f>IF(AND(ISNUMBER($E54),N(AQ$2)&gt;=N($G$2),N(AQ$2)&lt;=N($E54)),AQ$2,"")</f>
        <v/>
      </c>
      <c r="AR54" s="25">
        <f>IF(AND(ISNUMBER($E54),N(AR$2)&gt;=N($G$2),N(AR$2)&lt;=N($E54)),AR$2,"")</f>
        <v/>
      </c>
      <c r="AS54" s="25">
        <f>IF(AND(ISNUMBER($E54),N(AS$2)&gt;=N($G$2),N(AS$2)&lt;=N($E54)),AS$2,"")</f>
        <v/>
      </c>
      <c r="AT54" s="25">
        <f>IF(AND(ISNUMBER($E54),N(AT$2)&gt;=N($G$2),N(AT$2)&lt;=N($E54)),AT$2,"")</f>
        <v/>
      </c>
      <c r="AU54" s="25">
        <f>IF(AND(ISNUMBER($E54),N(AU$2)&gt;=N($G$2),N(AU$2)&lt;=N($E54)),AU$2,"")</f>
        <v/>
      </c>
      <c r="AV54" s="25">
        <f>IF(AND(ISNUMBER($E54),N(AV$2)&gt;=N($G$2),N(AV$2)&lt;=N($E54)),AV$2,"")</f>
        <v/>
      </c>
      <c r="AW54" s="25">
        <f>IF(AND(ISNUMBER($E54),N(AW$2)&gt;=N($G$2),N(AW$2)&lt;=N($E54)),AW$2,"")</f>
        <v/>
      </c>
      <c r="AX54" s="25">
        <f>IF(AND(ISNUMBER($E54),N(AX$2)&gt;=N($G$2),N(AX$2)&lt;=N($E54)),AX$2,"")</f>
        <v/>
      </c>
      <c r="AY54" s="25">
        <f>IF(AND(ISNUMBER($E54),N(AY$2)&gt;=N($G$2),N(AY$2)&lt;=N($E54)),AY$2,"")</f>
        <v/>
      </c>
      <c r="AZ54" s="25">
        <f>IF(AND(ISNUMBER($E54),N(AZ$2)&gt;=N($G$2),N(AZ$2)&lt;=N($E54)),AZ$2,"")</f>
        <v/>
      </c>
      <c r="BA54" s="25">
        <f>IF(AND(ISNUMBER($E54),N(BA$2)&gt;=N($G$2),N(BA$2)&lt;=N($E54)),BA$2,"")</f>
        <v/>
      </c>
      <c r="BB54" s="25">
        <f>IF(AND(ISNUMBER($E54),N(BB$2)&gt;=N($G$2),N(BB$2)&lt;=N($E54)),BB$2,"")</f>
        <v/>
      </c>
      <c r="BC54" s="25">
        <f>IF(AND(ISNUMBER($E54),N(BC$2)&gt;=N($G$2),N(BC$2)&lt;=N($E54)),BC$2,"")</f>
        <v/>
      </c>
      <c r="BD54" s="25">
        <f>IF(AND(ISNUMBER($E54),N(BD$2)&gt;=N($G$2),N(BD$2)&lt;=N($E54)),BD$2,"")</f>
        <v/>
      </c>
      <c r="BE54" s="25">
        <f>IF(AND(ISNUMBER($E54),N(BE$2)&gt;=N($G$2),N(BE$2)&lt;=N($E54)),BE$2,"")</f>
        <v/>
      </c>
      <c r="BF54" s="25">
        <f>IF(AND(ISNUMBER($E54),N(BF$2)&gt;=N($G$2),N(BF$2)&lt;=N($E54)),BF$2,"")</f>
        <v/>
      </c>
      <c r="BG54" s="25">
        <f>IF(AND(ISNUMBER($E54),N(BG$2)&gt;=N($G$2),N(BG$2)&lt;=N($E54)),BG$2,"")</f>
        <v/>
      </c>
      <c r="BH54" s="25">
        <f>IF(AND(ISNUMBER($E54),N(BH$2)&gt;=N($G$2),N(BH$2)&lt;=N($E54)),BH$2,"")</f>
        <v/>
      </c>
      <c r="BI54" s="25">
        <f>IF(AND(ISNUMBER($E54),N(BI$2)&gt;=N($G$2),N(BI$2)&lt;=N($E54)),BI$2,"")</f>
        <v/>
      </c>
      <c r="BJ54" s="25">
        <f>IF(AND(ISNUMBER($E54),N(BJ$2)&gt;=N($G$2),N(BJ$2)&lt;=N($E54)),BJ$2,"")</f>
        <v/>
      </c>
      <c r="BK54" s="25">
        <f>IF(AND(ISNUMBER($E54),N(BK$2)&gt;=N($G$2),N(BK$2)&lt;=N($E54)),BK$2,"")</f>
        <v/>
      </c>
      <c r="BL54" s="25">
        <f>IF(AND(ISNUMBER($E54),N(BL$2)&gt;=N($G$2),N(BL$2)&lt;=N($E54)),BL$2,"")</f>
        <v/>
      </c>
      <c r="BM54" s="25">
        <f>IF(AND(ISNUMBER($E54),N(BM$2)&gt;=N($G$2),N(BM$2)&lt;=N($E54)),BM$2,"")</f>
        <v/>
      </c>
      <c r="BN54" s="25">
        <f>IF(AND(ISNUMBER($E54),N(BN$2)&gt;=N($G$2),N(BN$2)&lt;=N($E54)),BN$2,"")</f>
        <v/>
      </c>
      <c r="BO54" s="25">
        <f>IF(AND(ISNUMBER($E54),N(BO$2)&gt;=N($G$2),N(BO$2)&lt;=N($E54)),BO$2,"")</f>
        <v/>
      </c>
    </row>
    <row r="55" ht="20" customHeight="1">
      <c r="A55" s="21" t="inlineStr">
        <is>
          <t>预估</t>
        </is>
      </c>
      <c r="B55" s="21" t="inlineStr">
        <is>
          <t>第一期</t>
        </is>
      </c>
      <c r="C55" s="22" t="inlineStr">
        <is>
          <t>PAB142·排针机安装调试</t>
        </is>
      </c>
      <c r="D55" s="23">
        <f>'时间节点计划表'!E28</f>
        <v/>
      </c>
      <c r="E55" s="23">
        <f>IF(COUNT('时间节点计划表'!F28),'时间节点计划表'!F28,"")</f>
        <v/>
      </c>
      <c r="F55" s="24" t="inlineStr"/>
      <c r="G55" s="25">
        <f>IF(AND(ISNUMBER($D55),N(G$2)&gt;=N($G$2),N(G$2)&lt;=N($D55)),G$2,"")</f>
        <v/>
      </c>
      <c r="H55" s="25">
        <f>IF(AND(ISNUMBER($D55),N(H$2)&gt;=N($G$2),N(H$2)&lt;=N($D55)),H$2,"")</f>
        <v/>
      </c>
      <c r="I55" s="25">
        <f>IF(AND(ISNUMBER($D55),N(I$2)&gt;=N($G$2),N(I$2)&lt;=N($D55)),I$2,"")</f>
        <v/>
      </c>
      <c r="J55" s="25">
        <f>IF(AND(ISNUMBER($D55),N(J$2)&gt;=N($G$2),N(J$2)&lt;=N($D55)),J$2,"")</f>
        <v/>
      </c>
      <c r="K55" s="25">
        <f>IF(AND(ISNUMBER($D55),N(K$2)&gt;=N($G$2),N(K$2)&lt;=N($D55)),K$2,"")</f>
        <v/>
      </c>
      <c r="L55" s="25">
        <f>IF(AND(ISNUMBER($D55),N(L$2)&gt;=N($G$2),N(L$2)&lt;=N($D55)),L$2,"")</f>
        <v/>
      </c>
      <c r="M55" s="25">
        <f>IF(AND(ISNUMBER($D55),N(M$2)&gt;=N($G$2),N(M$2)&lt;=N($D55)),M$2,"")</f>
        <v/>
      </c>
      <c r="N55" s="25">
        <f>IF(AND(ISNUMBER($D55),N(N$2)&gt;=N($G$2),N(N$2)&lt;=N($D55)),N$2,"")</f>
        <v/>
      </c>
      <c r="O55" s="25">
        <f>IF(AND(ISNUMBER($D55),N(O$2)&gt;=N($G$2),N(O$2)&lt;=N($D55)),O$2,"")</f>
        <v/>
      </c>
      <c r="P55" s="25">
        <f>IF(AND(ISNUMBER($D55),N(P$2)&gt;=N($G$2),N(P$2)&lt;=N($D55)),P$2,"")</f>
        <v/>
      </c>
      <c r="Q55" s="25">
        <f>IF(AND(ISNUMBER($D55),N(Q$2)&gt;=N($G$2),N(Q$2)&lt;=N($D55)),Q$2,"")</f>
        <v/>
      </c>
      <c r="R55" s="25">
        <f>IF(AND(ISNUMBER($D55),N(R$2)&gt;=N($G$2),N(R$2)&lt;=N($D55)),R$2,"")</f>
        <v/>
      </c>
      <c r="S55" s="25">
        <f>IF(AND(ISNUMBER($D55),N(S$2)&gt;=N($G$2),N(S$2)&lt;=N($D55)),S$2,"")</f>
        <v/>
      </c>
      <c r="T55" s="25">
        <f>IF(AND(ISNUMBER($D55),N(T$2)&gt;=N($G$2),N(T$2)&lt;=N($D55)),T$2,"")</f>
        <v/>
      </c>
      <c r="U55" s="25">
        <f>IF(AND(ISNUMBER($D55),N(U$2)&gt;=N($G$2),N(U$2)&lt;=N($D55)),U$2,"")</f>
        <v/>
      </c>
      <c r="V55" s="25">
        <f>IF(AND(ISNUMBER($D55),N(V$2)&gt;=N($G$2),N(V$2)&lt;=N($D55)),V$2,"")</f>
        <v/>
      </c>
      <c r="W55" s="25">
        <f>IF(AND(ISNUMBER($D55),N(W$2)&gt;=N($G$2),N(W$2)&lt;=N($D55)),W$2,"")</f>
        <v/>
      </c>
      <c r="X55" s="25">
        <f>IF(AND(ISNUMBER($D55),N(X$2)&gt;=N($G$2),N(X$2)&lt;=N($D55)),X$2,"")</f>
        <v/>
      </c>
      <c r="Y55" s="25">
        <f>IF(AND(ISNUMBER($D55),N(Y$2)&gt;=N($G$2),N(Y$2)&lt;=N($D55)),Y$2,"")</f>
        <v/>
      </c>
      <c r="Z55" s="25">
        <f>IF(AND(ISNUMBER($D55),N(Z$2)&gt;=N($G$2),N(Z$2)&lt;=N($D55)),Z$2,"")</f>
        <v/>
      </c>
      <c r="AA55" s="25">
        <f>IF(AND(ISNUMBER($D55),N(AA$2)&gt;=N($G$2),N(AA$2)&lt;=N($D55)),AA$2,"")</f>
        <v/>
      </c>
      <c r="AB55" s="25">
        <f>IF(AND(ISNUMBER($D55),N(AB$2)&gt;=N($G$2),N(AB$2)&lt;=N($D55)),AB$2,"")</f>
        <v/>
      </c>
      <c r="AC55" s="25">
        <f>IF(AND(ISNUMBER($D55),N(AC$2)&gt;=N($G$2),N(AC$2)&lt;=N($D55)),AC$2,"")</f>
        <v/>
      </c>
      <c r="AD55" s="25">
        <f>IF(AND(ISNUMBER($D55),N(AD$2)&gt;=N($G$2),N(AD$2)&lt;=N($D55)),AD$2,"")</f>
        <v/>
      </c>
      <c r="AE55" s="25">
        <f>IF(AND(ISNUMBER($D55),N(AE$2)&gt;=N($G$2),N(AE$2)&lt;=N($D55)),AE$2,"")</f>
        <v/>
      </c>
      <c r="AF55" s="25">
        <f>IF(AND(ISNUMBER($D55),N(AF$2)&gt;=N($G$2),N(AF$2)&lt;=N($D55)),AF$2,"")</f>
        <v/>
      </c>
      <c r="AG55" s="25">
        <f>IF(AND(ISNUMBER($D55),N(AG$2)&gt;=N($G$2),N(AG$2)&lt;=N($D55)),AG$2,"")</f>
        <v/>
      </c>
      <c r="AH55" s="25">
        <f>IF(AND(ISNUMBER($D55),N(AH$2)&gt;=N($G$2),N(AH$2)&lt;=N($D55)),AH$2,"")</f>
        <v/>
      </c>
      <c r="AI55" s="25">
        <f>IF(AND(ISNUMBER($D55),N(AI$2)&gt;=N($G$2),N(AI$2)&lt;=N($D55)),AI$2,"")</f>
        <v/>
      </c>
      <c r="AJ55" s="25">
        <f>IF(AND(ISNUMBER($D55),N(AJ$2)&gt;=N($G$2),N(AJ$2)&lt;=N($D55)),AJ$2,"")</f>
        <v/>
      </c>
      <c r="AK55" s="25">
        <f>IF(AND(ISNUMBER($D55),N(AK$2)&gt;=N($G$2),N(AK$2)&lt;=N($D55)),AK$2,"")</f>
        <v/>
      </c>
      <c r="AL55" s="25">
        <f>IF(AND(ISNUMBER($D55),N(AL$2)&gt;=N($G$2),N(AL$2)&lt;=N($D55)),AL$2,"")</f>
        <v/>
      </c>
      <c r="AM55" s="25">
        <f>IF(AND(ISNUMBER($D55),N(AM$2)&gt;=N($G$2),N(AM$2)&lt;=N($D55)),AM$2,"")</f>
        <v/>
      </c>
      <c r="AN55" s="25">
        <f>IF(AND(ISNUMBER($D55),N(AN$2)&gt;=N($G$2),N(AN$2)&lt;=N($D55)),AN$2,"")</f>
        <v/>
      </c>
      <c r="AO55" s="25">
        <f>IF(AND(ISNUMBER($D55),N(AO$2)&gt;=N($G$2),N(AO$2)&lt;=N($D55)),AO$2,"")</f>
        <v/>
      </c>
      <c r="AP55" s="25">
        <f>IF(AND(ISNUMBER($D55),N(AP$2)&gt;=N($G$2),N(AP$2)&lt;=N($D55)),AP$2,"")</f>
        <v/>
      </c>
      <c r="AQ55" s="25">
        <f>IF(AND(ISNUMBER($D55),N(AQ$2)&gt;=N($G$2),N(AQ$2)&lt;=N($D55)),AQ$2,"")</f>
        <v/>
      </c>
      <c r="AR55" s="25">
        <f>IF(AND(ISNUMBER($D55),N(AR$2)&gt;=N($G$2),N(AR$2)&lt;=N($D55)),AR$2,"")</f>
        <v/>
      </c>
      <c r="AS55" s="25">
        <f>IF(AND(ISNUMBER($D55),N(AS$2)&gt;=N($G$2),N(AS$2)&lt;=N($D55)),AS$2,"")</f>
        <v/>
      </c>
      <c r="AT55" s="25">
        <f>IF(AND(ISNUMBER($D55),N(AT$2)&gt;=N($G$2),N(AT$2)&lt;=N($D55)),AT$2,"")</f>
        <v/>
      </c>
      <c r="AU55" s="25">
        <f>IF(AND(ISNUMBER($D55),N(AU$2)&gt;=N($G$2),N(AU$2)&lt;=N($D55)),AU$2,"")</f>
        <v/>
      </c>
      <c r="AV55" s="25">
        <f>IF(AND(ISNUMBER($D55),N(AV$2)&gt;=N($G$2),N(AV$2)&lt;=N($D55)),AV$2,"")</f>
        <v/>
      </c>
      <c r="AW55" s="25">
        <f>IF(AND(ISNUMBER($D55),N(AW$2)&gt;=N($G$2),N(AW$2)&lt;=N($D55)),AW$2,"")</f>
        <v/>
      </c>
      <c r="AX55" s="25">
        <f>IF(AND(ISNUMBER($D55),N(AX$2)&gt;=N($G$2),N(AX$2)&lt;=N($D55)),AX$2,"")</f>
        <v/>
      </c>
      <c r="AY55" s="25">
        <f>IF(AND(ISNUMBER($D55),N(AY$2)&gt;=N($G$2),N(AY$2)&lt;=N($D55)),AY$2,"")</f>
        <v/>
      </c>
      <c r="AZ55" s="25">
        <f>IF(AND(ISNUMBER($D55),N(AZ$2)&gt;=N($G$2),N(AZ$2)&lt;=N($D55)),AZ$2,"")</f>
        <v/>
      </c>
      <c r="BA55" s="25">
        <f>IF(AND(ISNUMBER($D55),N(BA$2)&gt;=N($G$2),N(BA$2)&lt;=N($D55)),BA$2,"")</f>
        <v/>
      </c>
      <c r="BB55" s="25">
        <f>IF(AND(ISNUMBER($D55),N(BB$2)&gt;=N($G$2),N(BB$2)&lt;=N($D55)),BB$2,"")</f>
        <v/>
      </c>
      <c r="BC55" s="25">
        <f>IF(AND(ISNUMBER($D55),N(BC$2)&gt;=N($G$2),N(BC$2)&lt;=N($D55)),BC$2,"")</f>
        <v/>
      </c>
      <c r="BD55" s="25">
        <f>IF(AND(ISNUMBER($D55),N(BD$2)&gt;=N($G$2),N(BD$2)&lt;=N($D55)),BD$2,"")</f>
        <v/>
      </c>
      <c r="BE55" s="25">
        <f>IF(AND(ISNUMBER($D55),N(BE$2)&gt;=N($G$2),N(BE$2)&lt;=N($D55)),BE$2,"")</f>
        <v/>
      </c>
      <c r="BF55" s="25">
        <f>IF(AND(ISNUMBER($D55),N(BF$2)&gt;=N($G$2),N(BF$2)&lt;=N($D55)),BF$2,"")</f>
        <v/>
      </c>
      <c r="BG55" s="25">
        <f>IF(AND(ISNUMBER($D55),N(BG$2)&gt;=N($G$2),N(BG$2)&lt;=N($D55)),BG$2,"")</f>
        <v/>
      </c>
      <c r="BH55" s="25">
        <f>IF(AND(ISNUMBER($D55),N(BH$2)&gt;=N($G$2),N(BH$2)&lt;=N($D55)),BH$2,"")</f>
        <v/>
      </c>
      <c r="BI55" s="25">
        <f>IF(AND(ISNUMBER($D55),N(BI$2)&gt;=N($G$2),N(BI$2)&lt;=N($D55)),BI$2,"")</f>
        <v/>
      </c>
      <c r="BJ55" s="25">
        <f>IF(AND(ISNUMBER($D55),N(BJ$2)&gt;=N($G$2),N(BJ$2)&lt;=N($D55)),BJ$2,"")</f>
        <v/>
      </c>
      <c r="BK55" s="25">
        <f>IF(AND(ISNUMBER($D55),N(BK$2)&gt;=N($G$2),N(BK$2)&lt;=N($D55)),BK$2,"")</f>
        <v/>
      </c>
      <c r="BL55" s="25">
        <f>IF(AND(ISNUMBER($D55),N(BL$2)&gt;=N($G$2),N(BL$2)&lt;=N($D55)),BL$2,"")</f>
        <v/>
      </c>
      <c r="BM55" s="25">
        <f>IF(AND(ISNUMBER($D55),N(BM$2)&gt;=N($G$2),N(BM$2)&lt;=N($D55)),BM$2,"")</f>
        <v/>
      </c>
      <c r="BN55" s="25">
        <f>IF(AND(ISNUMBER($D55),N(BN$2)&gt;=N($G$2),N(BN$2)&lt;=N($D55)),BN$2,"")</f>
        <v/>
      </c>
      <c r="BO55" s="25">
        <f>IF(AND(ISNUMBER($D55),N(BO$2)&gt;=N($G$2),N(BO$2)&lt;=N($D55)),BO$2,"")</f>
        <v/>
      </c>
    </row>
    <row r="56" ht="20" customHeight="1">
      <c r="A56" s="26" t="inlineStr">
        <is>
          <t>实际</t>
        </is>
      </c>
      <c r="B56" s="26" t="inlineStr">
        <is>
          <t>第一期</t>
        </is>
      </c>
      <c r="C56" s="27" t="inlineStr">
        <is>
          <t>PAB142·排针机安装调试</t>
        </is>
      </c>
      <c r="D56" s="28">
        <f>'时间节点计划表'!E28</f>
        <v/>
      </c>
      <c r="E56" s="28">
        <f>IF(COUNT('时间节点计划表'!F28),'时间节点计划表'!F28,"")</f>
        <v/>
      </c>
      <c r="F56" s="29">
        <f>IF(OR(D56="",E56=""),"待填",E56-D56)</f>
        <v/>
      </c>
      <c r="G56" s="25">
        <f>IF(AND(ISNUMBER($E56),N(G$2)&gt;=N($G$2),N(G$2)&lt;=N($E56)),G$2,"")</f>
        <v/>
      </c>
      <c r="H56" s="25">
        <f>IF(AND(ISNUMBER($E56),N(H$2)&gt;=N($G$2),N(H$2)&lt;=N($E56)),H$2,"")</f>
        <v/>
      </c>
      <c r="I56" s="25">
        <f>IF(AND(ISNUMBER($E56),N(I$2)&gt;=N($G$2),N(I$2)&lt;=N($E56)),I$2,"")</f>
        <v/>
      </c>
      <c r="J56" s="25">
        <f>IF(AND(ISNUMBER($E56),N(J$2)&gt;=N($G$2),N(J$2)&lt;=N($E56)),J$2,"")</f>
        <v/>
      </c>
      <c r="K56" s="25">
        <f>IF(AND(ISNUMBER($E56),N(K$2)&gt;=N($G$2),N(K$2)&lt;=N($E56)),K$2,"")</f>
        <v/>
      </c>
      <c r="L56" s="25">
        <f>IF(AND(ISNUMBER($E56),N(L$2)&gt;=N($G$2),N(L$2)&lt;=N($E56)),L$2,"")</f>
        <v/>
      </c>
      <c r="M56" s="25">
        <f>IF(AND(ISNUMBER($E56),N(M$2)&gt;=N($G$2),N(M$2)&lt;=N($E56)),M$2,"")</f>
        <v/>
      </c>
      <c r="N56" s="25">
        <f>IF(AND(ISNUMBER($E56),N(N$2)&gt;=N($G$2),N(N$2)&lt;=N($E56)),N$2,"")</f>
        <v/>
      </c>
      <c r="O56" s="25">
        <f>IF(AND(ISNUMBER($E56),N(O$2)&gt;=N($G$2),N(O$2)&lt;=N($E56)),O$2,"")</f>
        <v/>
      </c>
      <c r="P56" s="25">
        <f>IF(AND(ISNUMBER($E56),N(P$2)&gt;=N($G$2),N(P$2)&lt;=N($E56)),P$2,"")</f>
        <v/>
      </c>
      <c r="Q56" s="25">
        <f>IF(AND(ISNUMBER($E56),N(Q$2)&gt;=N($G$2),N(Q$2)&lt;=N($E56)),Q$2,"")</f>
        <v/>
      </c>
      <c r="R56" s="25">
        <f>IF(AND(ISNUMBER($E56),N(R$2)&gt;=N($G$2),N(R$2)&lt;=N($E56)),R$2,"")</f>
        <v/>
      </c>
      <c r="S56" s="25">
        <f>IF(AND(ISNUMBER($E56),N(S$2)&gt;=N($G$2),N(S$2)&lt;=N($E56)),S$2,"")</f>
        <v/>
      </c>
      <c r="T56" s="25">
        <f>IF(AND(ISNUMBER($E56),N(T$2)&gt;=N($G$2),N(T$2)&lt;=N($E56)),T$2,"")</f>
        <v/>
      </c>
      <c r="U56" s="25">
        <f>IF(AND(ISNUMBER($E56),N(U$2)&gt;=N($G$2),N(U$2)&lt;=N($E56)),U$2,"")</f>
        <v/>
      </c>
      <c r="V56" s="25">
        <f>IF(AND(ISNUMBER($E56),N(V$2)&gt;=N($G$2),N(V$2)&lt;=N($E56)),V$2,"")</f>
        <v/>
      </c>
      <c r="W56" s="25">
        <f>IF(AND(ISNUMBER($E56),N(W$2)&gt;=N($G$2),N(W$2)&lt;=N($E56)),W$2,"")</f>
        <v/>
      </c>
      <c r="X56" s="25">
        <f>IF(AND(ISNUMBER($E56),N(X$2)&gt;=N($G$2),N(X$2)&lt;=N($E56)),X$2,"")</f>
        <v/>
      </c>
      <c r="Y56" s="25">
        <f>IF(AND(ISNUMBER($E56),N(Y$2)&gt;=N($G$2),N(Y$2)&lt;=N($E56)),Y$2,"")</f>
        <v/>
      </c>
      <c r="Z56" s="25">
        <f>IF(AND(ISNUMBER($E56),N(Z$2)&gt;=N($G$2),N(Z$2)&lt;=N($E56)),Z$2,"")</f>
        <v/>
      </c>
      <c r="AA56" s="25">
        <f>IF(AND(ISNUMBER($E56),N(AA$2)&gt;=N($G$2),N(AA$2)&lt;=N($E56)),AA$2,"")</f>
        <v/>
      </c>
      <c r="AB56" s="25">
        <f>IF(AND(ISNUMBER($E56),N(AB$2)&gt;=N($G$2),N(AB$2)&lt;=N($E56)),AB$2,"")</f>
        <v/>
      </c>
      <c r="AC56" s="25">
        <f>IF(AND(ISNUMBER($E56),N(AC$2)&gt;=N($G$2),N(AC$2)&lt;=N($E56)),AC$2,"")</f>
        <v/>
      </c>
      <c r="AD56" s="25">
        <f>IF(AND(ISNUMBER($E56),N(AD$2)&gt;=N($G$2),N(AD$2)&lt;=N($E56)),AD$2,"")</f>
        <v/>
      </c>
      <c r="AE56" s="25">
        <f>IF(AND(ISNUMBER($E56),N(AE$2)&gt;=N($G$2),N(AE$2)&lt;=N($E56)),AE$2,"")</f>
        <v/>
      </c>
      <c r="AF56" s="25">
        <f>IF(AND(ISNUMBER($E56),N(AF$2)&gt;=N($G$2),N(AF$2)&lt;=N($E56)),AF$2,"")</f>
        <v/>
      </c>
      <c r="AG56" s="25">
        <f>IF(AND(ISNUMBER($E56),N(AG$2)&gt;=N($G$2),N(AG$2)&lt;=N($E56)),AG$2,"")</f>
        <v/>
      </c>
      <c r="AH56" s="25">
        <f>IF(AND(ISNUMBER($E56),N(AH$2)&gt;=N($G$2),N(AH$2)&lt;=N($E56)),AH$2,"")</f>
        <v/>
      </c>
      <c r="AI56" s="25">
        <f>IF(AND(ISNUMBER($E56),N(AI$2)&gt;=N($G$2),N(AI$2)&lt;=N($E56)),AI$2,"")</f>
        <v/>
      </c>
      <c r="AJ56" s="25">
        <f>IF(AND(ISNUMBER($E56),N(AJ$2)&gt;=N($G$2),N(AJ$2)&lt;=N($E56)),AJ$2,"")</f>
        <v/>
      </c>
      <c r="AK56" s="25">
        <f>IF(AND(ISNUMBER($E56),N(AK$2)&gt;=N($G$2),N(AK$2)&lt;=N($E56)),AK$2,"")</f>
        <v/>
      </c>
      <c r="AL56" s="25">
        <f>IF(AND(ISNUMBER($E56),N(AL$2)&gt;=N($G$2),N(AL$2)&lt;=N($E56)),AL$2,"")</f>
        <v/>
      </c>
      <c r="AM56" s="25">
        <f>IF(AND(ISNUMBER($E56),N(AM$2)&gt;=N($G$2),N(AM$2)&lt;=N($E56)),AM$2,"")</f>
        <v/>
      </c>
      <c r="AN56" s="25">
        <f>IF(AND(ISNUMBER($E56),N(AN$2)&gt;=N($G$2),N(AN$2)&lt;=N($E56)),AN$2,"")</f>
        <v/>
      </c>
      <c r="AO56" s="25">
        <f>IF(AND(ISNUMBER($E56),N(AO$2)&gt;=N($G$2),N(AO$2)&lt;=N($E56)),AO$2,"")</f>
        <v/>
      </c>
      <c r="AP56" s="25">
        <f>IF(AND(ISNUMBER($E56),N(AP$2)&gt;=N($G$2),N(AP$2)&lt;=N($E56)),AP$2,"")</f>
        <v/>
      </c>
      <c r="AQ56" s="25">
        <f>IF(AND(ISNUMBER($E56),N(AQ$2)&gt;=N($G$2),N(AQ$2)&lt;=N($E56)),AQ$2,"")</f>
        <v/>
      </c>
      <c r="AR56" s="25">
        <f>IF(AND(ISNUMBER($E56),N(AR$2)&gt;=N($G$2),N(AR$2)&lt;=N($E56)),AR$2,"")</f>
        <v/>
      </c>
      <c r="AS56" s="25">
        <f>IF(AND(ISNUMBER($E56),N(AS$2)&gt;=N($G$2),N(AS$2)&lt;=N($E56)),AS$2,"")</f>
        <v/>
      </c>
      <c r="AT56" s="25">
        <f>IF(AND(ISNUMBER($E56),N(AT$2)&gt;=N($G$2),N(AT$2)&lt;=N($E56)),AT$2,"")</f>
        <v/>
      </c>
      <c r="AU56" s="25">
        <f>IF(AND(ISNUMBER($E56),N(AU$2)&gt;=N($G$2),N(AU$2)&lt;=N($E56)),AU$2,"")</f>
        <v/>
      </c>
      <c r="AV56" s="25">
        <f>IF(AND(ISNUMBER($E56),N(AV$2)&gt;=N($G$2),N(AV$2)&lt;=N($E56)),AV$2,"")</f>
        <v/>
      </c>
      <c r="AW56" s="25">
        <f>IF(AND(ISNUMBER($E56),N(AW$2)&gt;=N($G$2),N(AW$2)&lt;=N($E56)),AW$2,"")</f>
        <v/>
      </c>
      <c r="AX56" s="25">
        <f>IF(AND(ISNUMBER($E56),N(AX$2)&gt;=N($G$2),N(AX$2)&lt;=N($E56)),AX$2,"")</f>
        <v/>
      </c>
      <c r="AY56" s="25">
        <f>IF(AND(ISNUMBER($E56),N(AY$2)&gt;=N($G$2),N(AY$2)&lt;=N($E56)),AY$2,"")</f>
        <v/>
      </c>
      <c r="AZ56" s="25">
        <f>IF(AND(ISNUMBER($E56),N(AZ$2)&gt;=N($G$2),N(AZ$2)&lt;=N($E56)),AZ$2,"")</f>
        <v/>
      </c>
      <c r="BA56" s="25">
        <f>IF(AND(ISNUMBER($E56),N(BA$2)&gt;=N($G$2),N(BA$2)&lt;=N($E56)),BA$2,"")</f>
        <v/>
      </c>
      <c r="BB56" s="25">
        <f>IF(AND(ISNUMBER($E56),N(BB$2)&gt;=N($G$2),N(BB$2)&lt;=N($E56)),BB$2,"")</f>
        <v/>
      </c>
      <c r="BC56" s="25">
        <f>IF(AND(ISNUMBER($E56),N(BC$2)&gt;=N($G$2),N(BC$2)&lt;=N($E56)),BC$2,"")</f>
        <v/>
      </c>
      <c r="BD56" s="25">
        <f>IF(AND(ISNUMBER($E56),N(BD$2)&gt;=N($G$2),N(BD$2)&lt;=N($E56)),BD$2,"")</f>
        <v/>
      </c>
      <c r="BE56" s="25">
        <f>IF(AND(ISNUMBER($E56),N(BE$2)&gt;=N($G$2),N(BE$2)&lt;=N($E56)),BE$2,"")</f>
        <v/>
      </c>
      <c r="BF56" s="25">
        <f>IF(AND(ISNUMBER($E56),N(BF$2)&gt;=N($G$2),N(BF$2)&lt;=N($E56)),BF$2,"")</f>
        <v/>
      </c>
      <c r="BG56" s="25">
        <f>IF(AND(ISNUMBER($E56),N(BG$2)&gt;=N($G$2),N(BG$2)&lt;=N($E56)),BG$2,"")</f>
        <v/>
      </c>
      <c r="BH56" s="25">
        <f>IF(AND(ISNUMBER($E56),N(BH$2)&gt;=N($G$2),N(BH$2)&lt;=N($E56)),BH$2,"")</f>
        <v/>
      </c>
      <c r="BI56" s="25">
        <f>IF(AND(ISNUMBER($E56),N(BI$2)&gt;=N($G$2),N(BI$2)&lt;=N($E56)),BI$2,"")</f>
        <v/>
      </c>
      <c r="BJ56" s="25">
        <f>IF(AND(ISNUMBER($E56),N(BJ$2)&gt;=N($G$2),N(BJ$2)&lt;=N($E56)),BJ$2,"")</f>
        <v/>
      </c>
      <c r="BK56" s="25">
        <f>IF(AND(ISNUMBER($E56),N(BK$2)&gt;=N($G$2),N(BK$2)&lt;=N($E56)),BK$2,"")</f>
        <v/>
      </c>
      <c r="BL56" s="25">
        <f>IF(AND(ISNUMBER($E56),N(BL$2)&gt;=N($G$2),N(BL$2)&lt;=N($E56)),BL$2,"")</f>
        <v/>
      </c>
      <c r="BM56" s="25">
        <f>IF(AND(ISNUMBER($E56),N(BM$2)&gt;=N($G$2),N(BM$2)&lt;=N($E56)),BM$2,"")</f>
        <v/>
      </c>
      <c r="BN56" s="25">
        <f>IF(AND(ISNUMBER($E56),N(BN$2)&gt;=N($G$2),N(BN$2)&lt;=N($E56)),BN$2,"")</f>
        <v/>
      </c>
      <c r="BO56" s="25">
        <f>IF(AND(ISNUMBER($E56),N(BO$2)&gt;=N($G$2),N(BO$2)&lt;=N($E56)),BO$2,"")</f>
        <v/>
      </c>
    </row>
    <row r="57" ht="20" customHeight="1">
      <c r="A57" s="21" t="inlineStr">
        <is>
          <t>预估</t>
        </is>
      </c>
      <c r="B57" s="21" t="inlineStr">
        <is>
          <t>第一期</t>
        </is>
      </c>
      <c r="C57" s="22" t="inlineStr">
        <is>
          <t>PAB142·单级样机</t>
        </is>
      </c>
      <c r="D57" s="23">
        <f>'时间节点计划表'!E29</f>
        <v/>
      </c>
      <c r="E57" s="23">
        <f>IF(COUNT('时间节点计划表'!F29),'时间节点计划表'!F29,"")</f>
        <v/>
      </c>
      <c r="F57" s="24" t="inlineStr"/>
      <c r="G57" s="25">
        <f>IF(AND(ISNUMBER($D57),N(G$2)&gt;=N($G$2),N(G$2)&lt;=N($D57)),G$2,"")</f>
        <v/>
      </c>
      <c r="H57" s="25">
        <f>IF(AND(ISNUMBER($D57),N(H$2)&gt;=N($G$2),N(H$2)&lt;=N($D57)),H$2,"")</f>
        <v/>
      </c>
      <c r="I57" s="25">
        <f>IF(AND(ISNUMBER($D57),N(I$2)&gt;=N($G$2),N(I$2)&lt;=N($D57)),I$2,"")</f>
        <v/>
      </c>
      <c r="J57" s="25">
        <f>IF(AND(ISNUMBER($D57),N(J$2)&gt;=N($G$2),N(J$2)&lt;=N($D57)),J$2,"")</f>
        <v/>
      </c>
      <c r="K57" s="25">
        <f>IF(AND(ISNUMBER($D57),N(K$2)&gt;=N($G$2),N(K$2)&lt;=N($D57)),K$2,"")</f>
        <v/>
      </c>
      <c r="L57" s="25">
        <f>IF(AND(ISNUMBER($D57),N(L$2)&gt;=N($G$2),N(L$2)&lt;=N($D57)),L$2,"")</f>
        <v/>
      </c>
      <c r="M57" s="25">
        <f>IF(AND(ISNUMBER($D57),N(M$2)&gt;=N($G$2),N(M$2)&lt;=N($D57)),M$2,"")</f>
        <v/>
      </c>
      <c r="N57" s="25">
        <f>IF(AND(ISNUMBER($D57),N(N$2)&gt;=N($G$2),N(N$2)&lt;=N($D57)),N$2,"")</f>
        <v/>
      </c>
      <c r="O57" s="25">
        <f>IF(AND(ISNUMBER($D57),N(O$2)&gt;=N($G$2),N(O$2)&lt;=N($D57)),O$2,"")</f>
        <v/>
      </c>
      <c r="P57" s="25">
        <f>IF(AND(ISNUMBER($D57),N(P$2)&gt;=N($G$2),N(P$2)&lt;=N($D57)),P$2,"")</f>
        <v/>
      </c>
      <c r="Q57" s="25">
        <f>IF(AND(ISNUMBER($D57),N(Q$2)&gt;=N($G$2),N(Q$2)&lt;=N($D57)),Q$2,"")</f>
        <v/>
      </c>
      <c r="R57" s="25">
        <f>IF(AND(ISNUMBER($D57),N(R$2)&gt;=N($G$2),N(R$2)&lt;=N($D57)),R$2,"")</f>
        <v/>
      </c>
      <c r="S57" s="25">
        <f>IF(AND(ISNUMBER($D57),N(S$2)&gt;=N($G$2),N(S$2)&lt;=N($D57)),S$2,"")</f>
        <v/>
      </c>
      <c r="T57" s="25">
        <f>IF(AND(ISNUMBER($D57),N(T$2)&gt;=N($G$2),N(T$2)&lt;=N($D57)),T$2,"")</f>
        <v/>
      </c>
      <c r="U57" s="25">
        <f>IF(AND(ISNUMBER($D57),N(U$2)&gt;=N($G$2),N(U$2)&lt;=N($D57)),U$2,"")</f>
        <v/>
      </c>
      <c r="V57" s="25">
        <f>IF(AND(ISNUMBER($D57),N(V$2)&gt;=N($G$2),N(V$2)&lt;=N($D57)),V$2,"")</f>
        <v/>
      </c>
      <c r="W57" s="25">
        <f>IF(AND(ISNUMBER($D57),N(W$2)&gt;=N($G$2),N(W$2)&lt;=N($D57)),W$2,"")</f>
        <v/>
      </c>
      <c r="X57" s="25">
        <f>IF(AND(ISNUMBER($D57),N(X$2)&gt;=N($G$2),N(X$2)&lt;=N($D57)),X$2,"")</f>
        <v/>
      </c>
      <c r="Y57" s="25">
        <f>IF(AND(ISNUMBER($D57),N(Y$2)&gt;=N($G$2),N(Y$2)&lt;=N($D57)),Y$2,"")</f>
        <v/>
      </c>
      <c r="Z57" s="25">
        <f>IF(AND(ISNUMBER($D57),N(Z$2)&gt;=N($G$2),N(Z$2)&lt;=N($D57)),Z$2,"")</f>
        <v/>
      </c>
      <c r="AA57" s="25">
        <f>IF(AND(ISNUMBER($D57),N(AA$2)&gt;=N($G$2),N(AA$2)&lt;=N($D57)),AA$2,"")</f>
        <v/>
      </c>
      <c r="AB57" s="25">
        <f>IF(AND(ISNUMBER($D57),N(AB$2)&gt;=N($G$2),N(AB$2)&lt;=N($D57)),AB$2,"")</f>
        <v/>
      </c>
      <c r="AC57" s="25">
        <f>IF(AND(ISNUMBER($D57),N(AC$2)&gt;=N($G$2),N(AC$2)&lt;=N($D57)),AC$2,"")</f>
        <v/>
      </c>
      <c r="AD57" s="25">
        <f>IF(AND(ISNUMBER($D57),N(AD$2)&gt;=N($G$2),N(AD$2)&lt;=N($D57)),AD$2,"")</f>
        <v/>
      </c>
      <c r="AE57" s="25">
        <f>IF(AND(ISNUMBER($D57),N(AE$2)&gt;=N($G$2),N(AE$2)&lt;=N($D57)),AE$2,"")</f>
        <v/>
      </c>
      <c r="AF57" s="25">
        <f>IF(AND(ISNUMBER($D57),N(AF$2)&gt;=N($G$2),N(AF$2)&lt;=N($D57)),AF$2,"")</f>
        <v/>
      </c>
      <c r="AG57" s="25">
        <f>IF(AND(ISNUMBER($D57),N(AG$2)&gt;=N($G$2),N(AG$2)&lt;=N($D57)),AG$2,"")</f>
        <v/>
      </c>
      <c r="AH57" s="25">
        <f>IF(AND(ISNUMBER($D57),N(AH$2)&gt;=N($G$2),N(AH$2)&lt;=N($D57)),AH$2,"")</f>
        <v/>
      </c>
      <c r="AI57" s="25">
        <f>IF(AND(ISNUMBER($D57),N(AI$2)&gt;=N($G$2),N(AI$2)&lt;=N($D57)),AI$2,"")</f>
        <v/>
      </c>
      <c r="AJ57" s="25">
        <f>IF(AND(ISNUMBER($D57),N(AJ$2)&gt;=N($G$2),N(AJ$2)&lt;=N($D57)),AJ$2,"")</f>
        <v/>
      </c>
      <c r="AK57" s="25">
        <f>IF(AND(ISNUMBER($D57),N(AK$2)&gt;=N($G$2),N(AK$2)&lt;=N($D57)),AK$2,"")</f>
        <v/>
      </c>
      <c r="AL57" s="25">
        <f>IF(AND(ISNUMBER($D57),N(AL$2)&gt;=N($G$2),N(AL$2)&lt;=N($D57)),AL$2,"")</f>
        <v/>
      </c>
      <c r="AM57" s="25">
        <f>IF(AND(ISNUMBER($D57),N(AM$2)&gt;=N($G$2),N(AM$2)&lt;=N($D57)),AM$2,"")</f>
        <v/>
      </c>
      <c r="AN57" s="25">
        <f>IF(AND(ISNUMBER($D57),N(AN$2)&gt;=N($G$2),N(AN$2)&lt;=N($D57)),AN$2,"")</f>
        <v/>
      </c>
      <c r="AO57" s="25">
        <f>IF(AND(ISNUMBER($D57),N(AO$2)&gt;=N($G$2),N(AO$2)&lt;=N($D57)),AO$2,"")</f>
        <v/>
      </c>
      <c r="AP57" s="25">
        <f>IF(AND(ISNUMBER($D57),N(AP$2)&gt;=N($G$2),N(AP$2)&lt;=N($D57)),AP$2,"")</f>
        <v/>
      </c>
      <c r="AQ57" s="25">
        <f>IF(AND(ISNUMBER($D57),N(AQ$2)&gt;=N($G$2),N(AQ$2)&lt;=N($D57)),AQ$2,"")</f>
        <v/>
      </c>
      <c r="AR57" s="25">
        <f>IF(AND(ISNUMBER($D57),N(AR$2)&gt;=N($G$2),N(AR$2)&lt;=N($D57)),AR$2,"")</f>
        <v/>
      </c>
      <c r="AS57" s="25">
        <f>IF(AND(ISNUMBER($D57),N(AS$2)&gt;=N($G$2),N(AS$2)&lt;=N($D57)),AS$2,"")</f>
        <v/>
      </c>
      <c r="AT57" s="25">
        <f>IF(AND(ISNUMBER($D57),N(AT$2)&gt;=N($G$2),N(AT$2)&lt;=N($D57)),AT$2,"")</f>
        <v/>
      </c>
      <c r="AU57" s="25">
        <f>IF(AND(ISNUMBER($D57),N(AU$2)&gt;=N($G$2),N(AU$2)&lt;=N($D57)),AU$2,"")</f>
        <v/>
      </c>
      <c r="AV57" s="25">
        <f>IF(AND(ISNUMBER($D57),N(AV$2)&gt;=N($G$2),N(AV$2)&lt;=N($D57)),AV$2,"")</f>
        <v/>
      </c>
      <c r="AW57" s="25">
        <f>IF(AND(ISNUMBER($D57),N(AW$2)&gt;=N($G$2),N(AW$2)&lt;=N($D57)),AW$2,"")</f>
        <v/>
      </c>
      <c r="AX57" s="25">
        <f>IF(AND(ISNUMBER($D57),N(AX$2)&gt;=N($G$2),N(AX$2)&lt;=N($D57)),AX$2,"")</f>
        <v/>
      </c>
      <c r="AY57" s="25">
        <f>IF(AND(ISNUMBER($D57),N(AY$2)&gt;=N($G$2),N(AY$2)&lt;=N($D57)),AY$2,"")</f>
        <v/>
      </c>
      <c r="AZ57" s="25">
        <f>IF(AND(ISNUMBER($D57),N(AZ$2)&gt;=N($G$2),N(AZ$2)&lt;=N($D57)),AZ$2,"")</f>
        <v/>
      </c>
      <c r="BA57" s="25">
        <f>IF(AND(ISNUMBER($D57),N(BA$2)&gt;=N($G$2),N(BA$2)&lt;=N($D57)),BA$2,"")</f>
        <v/>
      </c>
      <c r="BB57" s="25">
        <f>IF(AND(ISNUMBER($D57),N(BB$2)&gt;=N($G$2),N(BB$2)&lt;=N($D57)),BB$2,"")</f>
        <v/>
      </c>
      <c r="BC57" s="25">
        <f>IF(AND(ISNUMBER($D57),N(BC$2)&gt;=N($G$2),N(BC$2)&lt;=N($D57)),BC$2,"")</f>
        <v/>
      </c>
      <c r="BD57" s="25">
        <f>IF(AND(ISNUMBER($D57),N(BD$2)&gt;=N($G$2),N(BD$2)&lt;=N($D57)),BD$2,"")</f>
        <v/>
      </c>
      <c r="BE57" s="25">
        <f>IF(AND(ISNUMBER($D57),N(BE$2)&gt;=N($G$2),N(BE$2)&lt;=N($D57)),BE$2,"")</f>
        <v/>
      </c>
      <c r="BF57" s="25">
        <f>IF(AND(ISNUMBER($D57),N(BF$2)&gt;=N($G$2),N(BF$2)&lt;=N($D57)),BF$2,"")</f>
        <v/>
      </c>
      <c r="BG57" s="25">
        <f>IF(AND(ISNUMBER($D57),N(BG$2)&gt;=N($G$2),N(BG$2)&lt;=N($D57)),BG$2,"")</f>
        <v/>
      </c>
      <c r="BH57" s="25">
        <f>IF(AND(ISNUMBER($D57),N(BH$2)&gt;=N($G$2),N(BH$2)&lt;=N($D57)),BH$2,"")</f>
        <v/>
      </c>
      <c r="BI57" s="25">
        <f>IF(AND(ISNUMBER($D57),N(BI$2)&gt;=N($G$2),N(BI$2)&lt;=N($D57)),BI$2,"")</f>
        <v/>
      </c>
      <c r="BJ57" s="25">
        <f>IF(AND(ISNUMBER($D57),N(BJ$2)&gt;=N($G$2),N(BJ$2)&lt;=N($D57)),BJ$2,"")</f>
        <v/>
      </c>
      <c r="BK57" s="25">
        <f>IF(AND(ISNUMBER($D57),N(BK$2)&gt;=N($G$2),N(BK$2)&lt;=N($D57)),BK$2,"")</f>
        <v/>
      </c>
      <c r="BL57" s="25">
        <f>IF(AND(ISNUMBER($D57),N(BL$2)&gt;=N($G$2),N(BL$2)&lt;=N($D57)),BL$2,"")</f>
        <v/>
      </c>
      <c r="BM57" s="25">
        <f>IF(AND(ISNUMBER($D57),N(BM$2)&gt;=N($G$2),N(BM$2)&lt;=N($D57)),BM$2,"")</f>
        <v/>
      </c>
      <c r="BN57" s="25">
        <f>IF(AND(ISNUMBER($D57),N(BN$2)&gt;=N($G$2),N(BN$2)&lt;=N($D57)),BN$2,"")</f>
        <v/>
      </c>
      <c r="BO57" s="25">
        <f>IF(AND(ISNUMBER($D57),N(BO$2)&gt;=N($G$2),N(BO$2)&lt;=N($D57)),BO$2,"")</f>
        <v/>
      </c>
    </row>
    <row r="58" ht="20" customHeight="1">
      <c r="A58" s="26" t="inlineStr">
        <is>
          <t>实际</t>
        </is>
      </c>
      <c r="B58" s="26" t="inlineStr">
        <is>
          <t>第一期</t>
        </is>
      </c>
      <c r="C58" s="27" t="inlineStr">
        <is>
          <t>PAB142·单级样机</t>
        </is>
      </c>
      <c r="D58" s="28">
        <f>'时间节点计划表'!E29</f>
        <v/>
      </c>
      <c r="E58" s="28">
        <f>IF(COUNT('时间节点计划表'!F29),'时间节点计划表'!F29,"")</f>
        <v/>
      </c>
      <c r="F58" s="29">
        <f>IF(OR(D58="",E58=""),"待填",E58-D58)</f>
        <v/>
      </c>
      <c r="G58" s="25">
        <f>IF(AND(ISNUMBER($E58),N(G$2)&gt;=N($G$2),N(G$2)&lt;=N($E58)),G$2,"")</f>
        <v/>
      </c>
      <c r="H58" s="25">
        <f>IF(AND(ISNUMBER($E58),N(H$2)&gt;=N($G$2),N(H$2)&lt;=N($E58)),H$2,"")</f>
        <v/>
      </c>
      <c r="I58" s="25">
        <f>IF(AND(ISNUMBER($E58),N(I$2)&gt;=N($G$2),N(I$2)&lt;=N($E58)),I$2,"")</f>
        <v/>
      </c>
      <c r="J58" s="25">
        <f>IF(AND(ISNUMBER($E58),N(J$2)&gt;=N($G$2),N(J$2)&lt;=N($E58)),J$2,"")</f>
        <v/>
      </c>
      <c r="K58" s="25">
        <f>IF(AND(ISNUMBER($E58),N(K$2)&gt;=N($G$2),N(K$2)&lt;=N($E58)),K$2,"")</f>
        <v/>
      </c>
      <c r="L58" s="25">
        <f>IF(AND(ISNUMBER($E58),N(L$2)&gt;=N($G$2),N(L$2)&lt;=N($E58)),L$2,"")</f>
        <v/>
      </c>
      <c r="M58" s="25">
        <f>IF(AND(ISNUMBER($E58),N(M$2)&gt;=N($G$2),N(M$2)&lt;=N($E58)),M$2,"")</f>
        <v/>
      </c>
      <c r="N58" s="25">
        <f>IF(AND(ISNUMBER($E58),N(N$2)&gt;=N($G$2),N(N$2)&lt;=N($E58)),N$2,"")</f>
        <v/>
      </c>
      <c r="O58" s="25">
        <f>IF(AND(ISNUMBER($E58),N(O$2)&gt;=N($G$2),N(O$2)&lt;=N($E58)),O$2,"")</f>
        <v/>
      </c>
      <c r="P58" s="25">
        <f>IF(AND(ISNUMBER($E58),N(P$2)&gt;=N($G$2),N(P$2)&lt;=N($E58)),P$2,"")</f>
        <v/>
      </c>
      <c r="Q58" s="25">
        <f>IF(AND(ISNUMBER($E58),N(Q$2)&gt;=N($G$2),N(Q$2)&lt;=N($E58)),Q$2,"")</f>
        <v/>
      </c>
      <c r="R58" s="25">
        <f>IF(AND(ISNUMBER($E58),N(R$2)&gt;=N($G$2),N(R$2)&lt;=N($E58)),R$2,"")</f>
        <v/>
      </c>
      <c r="S58" s="25">
        <f>IF(AND(ISNUMBER($E58),N(S$2)&gt;=N($G$2),N(S$2)&lt;=N($E58)),S$2,"")</f>
        <v/>
      </c>
      <c r="T58" s="25">
        <f>IF(AND(ISNUMBER($E58),N(T$2)&gt;=N($G$2),N(T$2)&lt;=N($E58)),T$2,"")</f>
        <v/>
      </c>
      <c r="U58" s="25">
        <f>IF(AND(ISNUMBER($E58),N(U$2)&gt;=N($G$2),N(U$2)&lt;=N($E58)),U$2,"")</f>
        <v/>
      </c>
      <c r="V58" s="25">
        <f>IF(AND(ISNUMBER($E58),N(V$2)&gt;=N($G$2),N(V$2)&lt;=N($E58)),V$2,"")</f>
        <v/>
      </c>
      <c r="W58" s="25">
        <f>IF(AND(ISNUMBER($E58),N(W$2)&gt;=N($G$2),N(W$2)&lt;=N($E58)),W$2,"")</f>
        <v/>
      </c>
      <c r="X58" s="25">
        <f>IF(AND(ISNUMBER($E58),N(X$2)&gt;=N($G$2),N(X$2)&lt;=N($E58)),X$2,"")</f>
        <v/>
      </c>
      <c r="Y58" s="25">
        <f>IF(AND(ISNUMBER($E58),N(Y$2)&gt;=N($G$2),N(Y$2)&lt;=N($E58)),Y$2,"")</f>
        <v/>
      </c>
      <c r="Z58" s="25">
        <f>IF(AND(ISNUMBER($E58),N(Z$2)&gt;=N($G$2),N(Z$2)&lt;=N($E58)),Z$2,"")</f>
        <v/>
      </c>
      <c r="AA58" s="25">
        <f>IF(AND(ISNUMBER($E58),N(AA$2)&gt;=N($G$2),N(AA$2)&lt;=N($E58)),AA$2,"")</f>
        <v/>
      </c>
      <c r="AB58" s="25">
        <f>IF(AND(ISNUMBER($E58),N(AB$2)&gt;=N($G$2),N(AB$2)&lt;=N($E58)),AB$2,"")</f>
        <v/>
      </c>
      <c r="AC58" s="25">
        <f>IF(AND(ISNUMBER($E58),N(AC$2)&gt;=N($G$2),N(AC$2)&lt;=N($E58)),AC$2,"")</f>
        <v/>
      </c>
      <c r="AD58" s="25">
        <f>IF(AND(ISNUMBER($E58),N(AD$2)&gt;=N($G$2),N(AD$2)&lt;=N($E58)),AD$2,"")</f>
        <v/>
      </c>
      <c r="AE58" s="25">
        <f>IF(AND(ISNUMBER($E58),N(AE$2)&gt;=N($G$2),N(AE$2)&lt;=N($E58)),AE$2,"")</f>
        <v/>
      </c>
      <c r="AF58" s="25">
        <f>IF(AND(ISNUMBER($E58),N(AF$2)&gt;=N($G$2),N(AF$2)&lt;=N($E58)),AF$2,"")</f>
        <v/>
      </c>
      <c r="AG58" s="25">
        <f>IF(AND(ISNUMBER($E58),N(AG$2)&gt;=N($G$2),N(AG$2)&lt;=N($E58)),AG$2,"")</f>
        <v/>
      </c>
      <c r="AH58" s="25">
        <f>IF(AND(ISNUMBER($E58),N(AH$2)&gt;=N($G$2),N(AH$2)&lt;=N($E58)),AH$2,"")</f>
        <v/>
      </c>
      <c r="AI58" s="25">
        <f>IF(AND(ISNUMBER($E58),N(AI$2)&gt;=N($G$2),N(AI$2)&lt;=N($E58)),AI$2,"")</f>
        <v/>
      </c>
      <c r="AJ58" s="25">
        <f>IF(AND(ISNUMBER($E58),N(AJ$2)&gt;=N($G$2),N(AJ$2)&lt;=N($E58)),AJ$2,"")</f>
        <v/>
      </c>
      <c r="AK58" s="25">
        <f>IF(AND(ISNUMBER($E58),N(AK$2)&gt;=N($G$2),N(AK$2)&lt;=N($E58)),AK$2,"")</f>
        <v/>
      </c>
      <c r="AL58" s="25">
        <f>IF(AND(ISNUMBER($E58),N(AL$2)&gt;=N($G$2),N(AL$2)&lt;=N($E58)),AL$2,"")</f>
        <v/>
      </c>
      <c r="AM58" s="25">
        <f>IF(AND(ISNUMBER($E58),N(AM$2)&gt;=N($G$2),N(AM$2)&lt;=N($E58)),AM$2,"")</f>
        <v/>
      </c>
      <c r="AN58" s="25">
        <f>IF(AND(ISNUMBER($E58),N(AN$2)&gt;=N($G$2),N(AN$2)&lt;=N($E58)),AN$2,"")</f>
        <v/>
      </c>
      <c r="AO58" s="25">
        <f>IF(AND(ISNUMBER($E58),N(AO$2)&gt;=N($G$2),N(AO$2)&lt;=N($E58)),AO$2,"")</f>
        <v/>
      </c>
      <c r="AP58" s="25">
        <f>IF(AND(ISNUMBER($E58),N(AP$2)&gt;=N($G$2),N(AP$2)&lt;=N($E58)),AP$2,"")</f>
        <v/>
      </c>
      <c r="AQ58" s="25">
        <f>IF(AND(ISNUMBER($E58),N(AQ$2)&gt;=N($G$2),N(AQ$2)&lt;=N($E58)),AQ$2,"")</f>
        <v/>
      </c>
      <c r="AR58" s="25">
        <f>IF(AND(ISNUMBER($E58),N(AR$2)&gt;=N($G$2),N(AR$2)&lt;=N($E58)),AR$2,"")</f>
        <v/>
      </c>
      <c r="AS58" s="25">
        <f>IF(AND(ISNUMBER($E58),N(AS$2)&gt;=N($G$2),N(AS$2)&lt;=N($E58)),AS$2,"")</f>
        <v/>
      </c>
      <c r="AT58" s="25">
        <f>IF(AND(ISNUMBER($E58),N(AT$2)&gt;=N($G$2),N(AT$2)&lt;=N($E58)),AT$2,"")</f>
        <v/>
      </c>
      <c r="AU58" s="25">
        <f>IF(AND(ISNUMBER($E58),N(AU$2)&gt;=N($G$2),N(AU$2)&lt;=N($E58)),AU$2,"")</f>
        <v/>
      </c>
      <c r="AV58" s="25">
        <f>IF(AND(ISNUMBER($E58),N(AV$2)&gt;=N($G$2),N(AV$2)&lt;=N($E58)),AV$2,"")</f>
        <v/>
      </c>
      <c r="AW58" s="25">
        <f>IF(AND(ISNUMBER($E58),N(AW$2)&gt;=N($G$2),N(AW$2)&lt;=N($E58)),AW$2,"")</f>
        <v/>
      </c>
      <c r="AX58" s="25">
        <f>IF(AND(ISNUMBER($E58),N(AX$2)&gt;=N($G$2),N(AX$2)&lt;=N($E58)),AX$2,"")</f>
        <v/>
      </c>
      <c r="AY58" s="25">
        <f>IF(AND(ISNUMBER($E58),N(AY$2)&gt;=N($G$2),N(AY$2)&lt;=N($E58)),AY$2,"")</f>
        <v/>
      </c>
      <c r="AZ58" s="25">
        <f>IF(AND(ISNUMBER($E58),N(AZ$2)&gt;=N($G$2),N(AZ$2)&lt;=N($E58)),AZ$2,"")</f>
        <v/>
      </c>
      <c r="BA58" s="25">
        <f>IF(AND(ISNUMBER($E58),N(BA$2)&gt;=N($G$2),N(BA$2)&lt;=N($E58)),BA$2,"")</f>
        <v/>
      </c>
      <c r="BB58" s="25">
        <f>IF(AND(ISNUMBER($E58),N(BB$2)&gt;=N($G$2),N(BB$2)&lt;=N($E58)),BB$2,"")</f>
        <v/>
      </c>
      <c r="BC58" s="25">
        <f>IF(AND(ISNUMBER($E58),N(BC$2)&gt;=N($G$2),N(BC$2)&lt;=N($E58)),BC$2,"")</f>
        <v/>
      </c>
      <c r="BD58" s="25">
        <f>IF(AND(ISNUMBER($E58),N(BD$2)&gt;=N($G$2),N(BD$2)&lt;=N($E58)),BD$2,"")</f>
        <v/>
      </c>
      <c r="BE58" s="25">
        <f>IF(AND(ISNUMBER($E58),N(BE$2)&gt;=N($G$2),N(BE$2)&lt;=N($E58)),BE$2,"")</f>
        <v/>
      </c>
      <c r="BF58" s="25">
        <f>IF(AND(ISNUMBER($E58),N(BF$2)&gt;=N($G$2),N(BF$2)&lt;=N($E58)),BF$2,"")</f>
        <v/>
      </c>
      <c r="BG58" s="25">
        <f>IF(AND(ISNUMBER($E58),N(BG$2)&gt;=N($G$2),N(BG$2)&lt;=N($E58)),BG$2,"")</f>
        <v/>
      </c>
      <c r="BH58" s="25">
        <f>IF(AND(ISNUMBER($E58),N(BH$2)&gt;=N($G$2),N(BH$2)&lt;=N($E58)),BH$2,"")</f>
        <v/>
      </c>
      <c r="BI58" s="25">
        <f>IF(AND(ISNUMBER($E58),N(BI$2)&gt;=N($G$2),N(BI$2)&lt;=N($E58)),BI$2,"")</f>
        <v/>
      </c>
      <c r="BJ58" s="25">
        <f>IF(AND(ISNUMBER($E58),N(BJ$2)&gt;=N($G$2),N(BJ$2)&lt;=N($E58)),BJ$2,"")</f>
        <v/>
      </c>
      <c r="BK58" s="25">
        <f>IF(AND(ISNUMBER($E58),N(BK$2)&gt;=N($G$2),N(BK$2)&lt;=N($E58)),BK$2,"")</f>
        <v/>
      </c>
      <c r="BL58" s="25">
        <f>IF(AND(ISNUMBER($E58),N(BL$2)&gt;=N($G$2),N(BL$2)&lt;=N($E58)),BL$2,"")</f>
        <v/>
      </c>
      <c r="BM58" s="25">
        <f>IF(AND(ISNUMBER($E58),N(BM$2)&gt;=N($G$2),N(BM$2)&lt;=N($E58)),BM$2,"")</f>
        <v/>
      </c>
      <c r="BN58" s="25">
        <f>IF(AND(ISNUMBER($E58),N(BN$2)&gt;=N($G$2),N(BN$2)&lt;=N($E58)),BN$2,"")</f>
        <v/>
      </c>
      <c r="BO58" s="25">
        <f>IF(AND(ISNUMBER($E58),N(BO$2)&gt;=N($G$2),N(BO$2)&lt;=N($E58)),BO$2,"")</f>
        <v/>
      </c>
    </row>
    <row r="59" ht="20" customHeight="1">
      <c r="A59" s="21" t="inlineStr">
        <is>
          <t>预估</t>
        </is>
      </c>
      <c r="B59" s="21" t="inlineStr">
        <is>
          <t>第一期</t>
        </is>
      </c>
      <c r="C59" s="22" t="inlineStr">
        <is>
          <t>PAB142·双级样机</t>
        </is>
      </c>
      <c r="D59" s="23">
        <f>'时间节点计划表'!E30</f>
        <v/>
      </c>
      <c r="E59" s="23">
        <f>IF(COUNT('时间节点计划表'!F30),'时间节点计划表'!F30,"")</f>
        <v/>
      </c>
      <c r="F59" s="24" t="inlineStr"/>
      <c r="G59" s="25">
        <f>IF(AND(ISNUMBER($D59),N(G$2)&gt;=N($G$2),N(G$2)&lt;=N($D59)),G$2,"")</f>
        <v/>
      </c>
      <c r="H59" s="25">
        <f>IF(AND(ISNUMBER($D59),N(H$2)&gt;=N($G$2),N(H$2)&lt;=N($D59)),H$2,"")</f>
        <v/>
      </c>
      <c r="I59" s="25">
        <f>IF(AND(ISNUMBER($D59),N(I$2)&gt;=N($G$2),N(I$2)&lt;=N($D59)),I$2,"")</f>
        <v/>
      </c>
      <c r="J59" s="25">
        <f>IF(AND(ISNUMBER($D59),N(J$2)&gt;=N($G$2),N(J$2)&lt;=N($D59)),J$2,"")</f>
        <v/>
      </c>
      <c r="K59" s="25">
        <f>IF(AND(ISNUMBER($D59),N(K$2)&gt;=N($G$2),N(K$2)&lt;=N($D59)),K$2,"")</f>
        <v/>
      </c>
      <c r="L59" s="25">
        <f>IF(AND(ISNUMBER($D59),N(L$2)&gt;=N($G$2),N(L$2)&lt;=N($D59)),L$2,"")</f>
        <v/>
      </c>
      <c r="M59" s="25">
        <f>IF(AND(ISNUMBER($D59),N(M$2)&gt;=N($G$2),N(M$2)&lt;=N($D59)),M$2,"")</f>
        <v/>
      </c>
      <c r="N59" s="25">
        <f>IF(AND(ISNUMBER($D59),N(N$2)&gt;=N($G$2),N(N$2)&lt;=N($D59)),N$2,"")</f>
        <v/>
      </c>
      <c r="O59" s="25">
        <f>IF(AND(ISNUMBER($D59),N(O$2)&gt;=N($G$2),N(O$2)&lt;=N($D59)),O$2,"")</f>
        <v/>
      </c>
      <c r="P59" s="25">
        <f>IF(AND(ISNUMBER($D59),N(P$2)&gt;=N($G$2),N(P$2)&lt;=N($D59)),P$2,"")</f>
        <v/>
      </c>
      <c r="Q59" s="25">
        <f>IF(AND(ISNUMBER($D59),N(Q$2)&gt;=N($G$2),N(Q$2)&lt;=N($D59)),Q$2,"")</f>
        <v/>
      </c>
      <c r="R59" s="25">
        <f>IF(AND(ISNUMBER($D59),N(R$2)&gt;=N($G$2),N(R$2)&lt;=N($D59)),R$2,"")</f>
        <v/>
      </c>
      <c r="S59" s="25">
        <f>IF(AND(ISNUMBER($D59),N(S$2)&gt;=N($G$2),N(S$2)&lt;=N($D59)),S$2,"")</f>
        <v/>
      </c>
      <c r="T59" s="25">
        <f>IF(AND(ISNUMBER($D59),N(T$2)&gt;=N($G$2),N(T$2)&lt;=N($D59)),T$2,"")</f>
        <v/>
      </c>
      <c r="U59" s="25">
        <f>IF(AND(ISNUMBER($D59),N(U$2)&gt;=N($G$2),N(U$2)&lt;=N($D59)),U$2,"")</f>
        <v/>
      </c>
      <c r="V59" s="25">
        <f>IF(AND(ISNUMBER($D59),N(V$2)&gt;=N($G$2),N(V$2)&lt;=N($D59)),V$2,"")</f>
        <v/>
      </c>
      <c r="W59" s="25">
        <f>IF(AND(ISNUMBER($D59),N(W$2)&gt;=N($G$2),N(W$2)&lt;=N($D59)),W$2,"")</f>
        <v/>
      </c>
      <c r="X59" s="25">
        <f>IF(AND(ISNUMBER($D59),N(X$2)&gt;=N($G$2),N(X$2)&lt;=N($D59)),X$2,"")</f>
        <v/>
      </c>
      <c r="Y59" s="25">
        <f>IF(AND(ISNUMBER($D59),N(Y$2)&gt;=N($G$2),N(Y$2)&lt;=N($D59)),Y$2,"")</f>
        <v/>
      </c>
      <c r="Z59" s="25">
        <f>IF(AND(ISNUMBER($D59),N(Z$2)&gt;=N($G$2),N(Z$2)&lt;=N($D59)),Z$2,"")</f>
        <v/>
      </c>
      <c r="AA59" s="25">
        <f>IF(AND(ISNUMBER($D59),N(AA$2)&gt;=N($G$2),N(AA$2)&lt;=N($D59)),AA$2,"")</f>
        <v/>
      </c>
      <c r="AB59" s="25">
        <f>IF(AND(ISNUMBER($D59),N(AB$2)&gt;=N($G$2),N(AB$2)&lt;=N($D59)),AB$2,"")</f>
        <v/>
      </c>
      <c r="AC59" s="25">
        <f>IF(AND(ISNUMBER($D59),N(AC$2)&gt;=N($G$2),N(AC$2)&lt;=N($D59)),AC$2,"")</f>
        <v/>
      </c>
      <c r="AD59" s="25">
        <f>IF(AND(ISNUMBER($D59),N(AD$2)&gt;=N($G$2),N(AD$2)&lt;=N($D59)),AD$2,"")</f>
        <v/>
      </c>
      <c r="AE59" s="25">
        <f>IF(AND(ISNUMBER($D59),N(AE$2)&gt;=N($G$2),N(AE$2)&lt;=N($D59)),AE$2,"")</f>
        <v/>
      </c>
      <c r="AF59" s="25">
        <f>IF(AND(ISNUMBER($D59),N(AF$2)&gt;=N($G$2),N(AF$2)&lt;=N($D59)),AF$2,"")</f>
        <v/>
      </c>
      <c r="AG59" s="25">
        <f>IF(AND(ISNUMBER($D59),N(AG$2)&gt;=N($G$2),N(AG$2)&lt;=N($D59)),AG$2,"")</f>
        <v/>
      </c>
      <c r="AH59" s="25">
        <f>IF(AND(ISNUMBER($D59),N(AH$2)&gt;=N($G$2),N(AH$2)&lt;=N($D59)),AH$2,"")</f>
        <v/>
      </c>
      <c r="AI59" s="25">
        <f>IF(AND(ISNUMBER($D59),N(AI$2)&gt;=N($G$2),N(AI$2)&lt;=N($D59)),AI$2,"")</f>
        <v/>
      </c>
      <c r="AJ59" s="25">
        <f>IF(AND(ISNUMBER($D59),N(AJ$2)&gt;=N($G$2),N(AJ$2)&lt;=N($D59)),AJ$2,"")</f>
        <v/>
      </c>
      <c r="AK59" s="25">
        <f>IF(AND(ISNUMBER($D59),N(AK$2)&gt;=N($G$2),N(AK$2)&lt;=N($D59)),AK$2,"")</f>
        <v/>
      </c>
      <c r="AL59" s="25">
        <f>IF(AND(ISNUMBER($D59),N(AL$2)&gt;=N($G$2),N(AL$2)&lt;=N($D59)),AL$2,"")</f>
        <v/>
      </c>
      <c r="AM59" s="25">
        <f>IF(AND(ISNUMBER($D59),N(AM$2)&gt;=N($G$2),N(AM$2)&lt;=N($D59)),AM$2,"")</f>
        <v/>
      </c>
      <c r="AN59" s="25">
        <f>IF(AND(ISNUMBER($D59),N(AN$2)&gt;=N($G$2),N(AN$2)&lt;=N($D59)),AN$2,"")</f>
        <v/>
      </c>
      <c r="AO59" s="25">
        <f>IF(AND(ISNUMBER($D59),N(AO$2)&gt;=N($G$2),N(AO$2)&lt;=N($D59)),AO$2,"")</f>
        <v/>
      </c>
      <c r="AP59" s="25">
        <f>IF(AND(ISNUMBER($D59),N(AP$2)&gt;=N($G$2),N(AP$2)&lt;=N($D59)),AP$2,"")</f>
        <v/>
      </c>
      <c r="AQ59" s="25">
        <f>IF(AND(ISNUMBER($D59),N(AQ$2)&gt;=N($G$2),N(AQ$2)&lt;=N($D59)),AQ$2,"")</f>
        <v/>
      </c>
      <c r="AR59" s="25">
        <f>IF(AND(ISNUMBER($D59),N(AR$2)&gt;=N($G$2),N(AR$2)&lt;=N($D59)),AR$2,"")</f>
        <v/>
      </c>
      <c r="AS59" s="25">
        <f>IF(AND(ISNUMBER($D59),N(AS$2)&gt;=N($G$2),N(AS$2)&lt;=N($D59)),AS$2,"")</f>
        <v/>
      </c>
      <c r="AT59" s="25">
        <f>IF(AND(ISNUMBER($D59),N(AT$2)&gt;=N($G$2),N(AT$2)&lt;=N($D59)),AT$2,"")</f>
        <v/>
      </c>
      <c r="AU59" s="25">
        <f>IF(AND(ISNUMBER($D59),N(AU$2)&gt;=N($G$2),N(AU$2)&lt;=N($D59)),AU$2,"")</f>
        <v/>
      </c>
      <c r="AV59" s="25">
        <f>IF(AND(ISNUMBER($D59),N(AV$2)&gt;=N($G$2),N(AV$2)&lt;=N($D59)),AV$2,"")</f>
        <v/>
      </c>
      <c r="AW59" s="25">
        <f>IF(AND(ISNUMBER($D59),N(AW$2)&gt;=N($G$2),N(AW$2)&lt;=N($D59)),AW$2,"")</f>
        <v/>
      </c>
      <c r="AX59" s="25">
        <f>IF(AND(ISNUMBER($D59),N(AX$2)&gt;=N($G$2),N(AX$2)&lt;=N($D59)),AX$2,"")</f>
        <v/>
      </c>
      <c r="AY59" s="25">
        <f>IF(AND(ISNUMBER($D59),N(AY$2)&gt;=N($G$2),N(AY$2)&lt;=N($D59)),AY$2,"")</f>
        <v/>
      </c>
      <c r="AZ59" s="25">
        <f>IF(AND(ISNUMBER($D59),N(AZ$2)&gt;=N($G$2),N(AZ$2)&lt;=N($D59)),AZ$2,"")</f>
        <v/>
      </c>
      <c r="BA59" s="25">
        <f>IF(AND(ISNUMBER($D59),N(BA$2)&gt;=N($G$2),N(BA$2)&lt;=N($D59)),BA$2,"")</f>
        <v/>
      </c>
      <c r="BB59" s="25">
        <f>IF(AND(ISNUMBER($D59),N(BB$2)&gt;=N($G$2),N(BB$2)&lt;=N($D59)),BB$2,"")</f>
        <v/>
      </c>
      <c r="BC59" s="25">
        <f>IF(AND(ISNUMBER($D59),N(BC$2)&gt;=N($G$2),N(BC$2)&lt;=N($D59)),BC$2,"")</f>
        <v/>
      </c>
      <c r="BD59" s="25">
        <f>IF(AND(ISNUMBER($D59),N(BD$2)&gt;=N($G$2),N(BD$2)&lt;=N($D59)),BD$2,"")</f>
        <v/>
      </c>
      <c r="BE59" s="25">
        <f>IF(AND(ISNUMBER($D59),N(BE$2)&gt;=N($G$2),N(BE$2)&lt;=N($D59)),BE$2,"")</f>
        <v/>
      </c>
      <c r="BF59" s="25">
        <f>IF(AND(ISNUMBER($D59),N(BF$2)&gt;=N($G$2),N(BF$2)&lt;=N($D59)),BF$2,"")</f>
        <v/>
      </c>
      <c r="BG59" s="25">
        <f>IF(AND(ISNUMBER($D59),N(BG$2)&gt;=N($G$2),N(BG$2)&lt;=N($D59)),BG$2,"")</f>
        <v/>
      </c>
      <c r="BH59" s="25">
        <f>IF(AND(ISNUMBER($D59),N(BH$2)&gt;=N($G$2),N(BH$2)&lt;=N($D59)),BH$2,"")</f>
        <v/>
      </c>
      <c r="BI59" s="25">
        <f>IF(AND(ISNUMBER($D59),N(BI$2)&gt;=N($G$2),N(BI$2)&lt;=N($D59)),BI$2,"")</f>
        <v/>
      </c>
      <c r="BJ59" s="25">
        <f>IF(AND(ISNUMBER($D59),N(BJ$2)&gt;=N($G$2),N(BJ$2)&lt;=N($D59)),BJ$2,"")</f>
        <v/>
      </c>
      <c r="BK59" s="25">
        <f>IF(AND(ISNUMBER($D59),N(BK$2)&gt;=N($G$2),N(BK$2)&lt;=N($D59)),BK$2,"")</f>
        <v/>
      </c>
      <c r="BL59" s="25">
        <f>IF(AND(ISNUMBER($D59),N(BL$2)&gt;=N($G$2),N(BL$2)&lt;=N($D59)),BL$2,"")</f>
        <v/>
      </c>
      <c r="BM59" s="25">
        <f>IF(AND(ISNUMBER($D59),N(BM$2)&gt;=N($G$2),N(BM$2)&lt;=N($D59)),BM$2,"")</f>
        <v/>
      </c>
      <c r="BN59" s="25">
        <f>IF(AND(ISNUMBER($D59),N(BN$2)&gt;=N($G$2),N(BN$2)&lt;=N($D59)),BN$2,"")</f>
        <v/>
      </c>
      <c r="BO59" s="25">
        <f>IF(AND(ISNUMBER($D59),N(BO$2)&gt;=N($G$2),N(BO$2)&lt;=N($D59)),BO$2,"")</f>
        <v/>
      </c>
    </row>
    <row r="60" ht="20" customHeight="1">
      <c r="A60" s="26" t="inlineStr">
        <is>
          <t>实际</t>
        </is>
      </c>
      <c r="B60" s="26" t="inlineStr">
        <is>
          <t>第一期</t>
        </is>
      </c>
      <c r="C60" s="27" t="inlineStr">
        <is>
          <t>PAB142·双级样机</t>
        </is>
      </c>
      <c r="D60" s="28">
        <f>'时间节点计划表'!E30</f>
        <v/>
      </c>
      <c r="E60" s="28">
        <f>IF(COUNT('时间节点计划表'!F30),'时间节点计划表'!F30,"")</f>
        <v/>
      </c>
      <c r="F60" s="29">
        <f>IF(OR(D60="",E60=""),"待填",E60-D60)</f>
        <v/>
      </c>
      <c r="G60" s="25">
        <f>IF(AND(ISNUMBER($E60),N(G$2)&gt;=N($G$2),N(G$2)&lt;=N($E60)),G$2,"")</f>
        <v/>
      </c>
      <c r="H60" s="25">
        <f>IF(AND(ISNUMBER($E60),N(H$2)&gt;=N($G$2),N(H$2)&lt;=N($E60)),H$2,"")</f>
        <v/>
      </c>
      <c r="I60" s="25">
        <f>IF(AND(ISNUMBER($E60),N(I$2)&gt;=N($G$2),N(I$2)&lt;=N($E60)),I$2,"")</f>
        <v/>
      </c>
      <c r="J60" s="25">
        <f>IF(AND(ISNUMBER($E60),N(J$2)&gt;=N($G$2),N(J$2)&lt;=N($E60)),J$2,"")</f>
        <v/>
      </c>
      <c r="K60" s="25">
        <f>IF(AND(ISNUMBER($E60),N(K$2)&gt;=N($G$2),N(K$2)&lt;=N($E60)),K$2,"")</f>
        <v/>
      </c>
      <c r="L60" s="25">
        <f>IF(AND(ISNUMBER($E60),N(L$2)&gt;=N($G$2),N(L$2)&lt;=N($E60)),L$2,"")</f>
        <v/>
      </c>
      <c r="M60" s="25">
        <f>IF(AND(ISNUMBER($E60),N(M$2)&gt;=N($G$2),N(M$2)&lt;=N($E60)),M$2,"")</f>
        <v/>
      </c>
      <c r="N60" s="25">
        <f>IF(AND(ISNUMBER($E60),N(N$2)&gt;=N($G$2),N(N$2)&lt;=N($E60)),N$2,"")</f>
        <v/>
      </c>
      <c r="O60" s="25">
        <f>IF(AND(ISNUMBER($E60),N(O$2)&gt;=N($G$2),N(O$2)&lt;=N($E60)),O$2,"")</f>
        <v/>
      </c>
      <c r="P60" s="25">
        <f>IF(AND(ISNUMBER($E60),N(P$2)&gt;=N($G$2),N(P$2)&lt;=N($E60)),P$2,"")</f>
        <v/>
      </c>
      <c r="Q60" s="25">
        <f>IF(AND(ISNUMBER($E60),N(Q$2)&gt;=N($G$2),N(Q$2)&lt;=N($E60)),Q$2,"")</f>
        <v/>
      </c>
      <c r="R60" s="25">
        <f>IF(AND(ISNUMBER($E60),N(R$2)&gt;=N($G$2),N(R$2)&lt;=N($E60)),R$2,"")</f>
        <v/>
      </c>
      <c r="S60" s="25">
        <f>IF(AND(ISNUMBER($E60),N(S$2)&gt;=N($G$2),N(S$2)&lt;=N($E60)),S$2,"")</f>
        <v/>
      </c>
      <c r="T60" s="25">
        <f>IF(AND(ISNUMBER($E60),N(T$2)&gt;=N($G$2),N(T$2)&lt;=N($E60)),T$2,"")</f>
        <v/>
      </c>
      <c r="U60" s="25">
        <f>IF(AND(ISNUMBER($E60),N(U$2)&gt;=N($G$2),N(U$2)&lt;=N($E60)),U$2,"")</f>
        <v/>
      </c>
      <c r="V60" s="25">
        <f>IF(AND(ISNUMBER($E60),N(V$2)&gt;=N($G$2),N(V$2)&lt;=N($E60)),V$2,"")</f>
        <v/>
      </c>
      <c r="W60" s="25">
        <f>IF(AND(ISNUMBER($E60),N(W$2)&gt;=N($G$2),N(W$2)&lt;=N($E60)),W$2,"")</f>
        <v/>
      </c>
      <c r="X60" s="25">
        <f>IF(AND(ISNUMBER($E60),N(X$2)&gt;=N($G$2),N(X$2)&lt;=N($E60)),X$2,"")</f>
        <v/>
      </c>
      <c r="Y60" s="25">
        <f>IF(AND(ISNUMBER($E60),N(Y$2)&gt;=N($G$2),N(Y$2)&lt;=N($E60)),Y$2,"")</f>
        <v/>
      </c>
      <c r="Z60" s="25">
        <f>IF(AND(ISNUMBER($E60),N(Z$2)&gt;=N($G$2),N(Z$2)&lt;=N($E60)),Z$2,"")</f>
        <v/>
      </c>
      <c r="AA60" s="25">
        <f>IF(AND(ISNUMBER($E60),N(AA$2)&gt;=N($G$2),N(AA$2)&lt;=N($E60)),AA$2,"")</f>
        <v/>
      </c>
      <c r="AB60" s="25">
        <f>IF(AND(ISNUMBER($E60),N(AB$2)&gt;=N($G$2),N(AB$2)&lt;=N($E60)),AB$2,"")</f>
        <v/>
      </c>
      <c r="AC60" s="25">
        <f>IF(AND(ISNUMBER($E60),N(AC$2)&gt;=N($G$2),N(AC$2)&lt;=N($E60)),AC$2,"")</f>
        <v/>
      </c>
      <c r="AD60" s="25">
        <f>IF(AND(ISNUMBER($E60),N(AD$2)&gt;=N($G$2),N(AD$2)&lt;=N($E60)),AD$2,"")</f>
        <v/>
      </c>
      <c r="AE60" s="25">
        <f>IF(AND(ISNUMBER($E60),N(AE$2)&gt;=N($G$2),N(AE$2)&lt;=N($E60)),AE$2,"")</f>
        <v/>
      </c>
      <c r="AF60" s="25">
        <f>IF(AND(ISNUMBER($E60),N(AF$2)&gt;=N($G$2),N(AF$2)&lt;=N($E60)),AF$2,"")</f>
        <v/>
      </c>
      <c r="AG60" s="25">
        <f>IF(AND(ISNUMBER($E60),N(AG$2)&gt;=N($G$2),N(AG$2)&lt;=N($E60)),AG$2,"")</f>
        <v/>
      </c>
      <c r="AH60" s="25">
        <f>IF(AND(ISNUMBER($E60),N(AH$2)&gt;=N($G$2),N(AH$2)&lt;=N($E60)),AH$2,"")</f>
        <v/>
      </c>
      <c r="AI60" s="25">
        <f>IF(AND(ISNUMBER($E60),N(AI$2)&gt;=N($G$2),N(AI$2)&lt;=N($E60)),AI$2,"")</f>
        <v/>
      </c>
      <c r="AJ60" s="25">
        <f>IF(AND(ISNUMBER($E60),N(AJ$2)&gt;=N($G$2),N(AJ$2)&lt;=N($E60)),AJ$2,"")</f>
        <v/>
      </c>
      <c r="AK60" s="25">
        <f>IF(AND(ISNUMBER($E60),N(AK$2)&gt;=N($G$2),N(AK$2)&lt;=N($E60)),AK$2,"")</f>
        <v/>
      </c>
      <c r="AL60" s="25">
        <f>IF(AND(ISNUMBER($E60),N(AL$2)&gt;=N($G$2),N(AL$2)&lt;=N($E60)),AL$2,"")</f>
        <v/>
      </c>
      <c r="AM60" s="25">
        <f>IF(AND(ISNUMBER($E60),N(AM$2)&gt;=N($G$2),N(AM$2)&lt;=N($E60)),AM$2,"")</f>
        <v/>
      </c>
      <c r="AN60" s="25">
        <f>IF(AND(ISNUMBER($E60),N(AN$2)&gt;=N($G$2),N(AN$2)&lt;=N($E60)),AN$2,"")</f>
        <v/>
      </c>
      <c r="AO60" s="25">
        <f>IF(AND(ISNUMBER($E60),N(AO$2)&gt;=N($G$2),N(AO$2)&lt;=N($E60)),AO$2,"")</f>
        <v/>
      </c>
      <c r="AP60" s="25">
        <f>IF(AND(ISNUMBER($E60),N(AP$2)&gt;=N($G$2),N(AP$2)&lt;=N($E60)),AP$2,"")</f>
        <v/>
      </c>
      <c r="AQ60" s="25">
        <f>IF(AND(ISNUMBER($E60),N(AQ$2)&gt;=N($G$2),N(AQ$2)&lt;=N($E60)),AQ$2,"")</f>
        <v/>
      </c>
      <c r="AR60" s="25">
        <f>IF(AND(ISNUMBER($E60),N(AR$2)&gt;=N($G$2),N(AR$2)&lt;=N($E60)),AR$2,"")</f>
        <v/>
      </c>
      <c r="AS60" s="25">
        <f>IF(AND(ISNUMBER($E60),N(AS$2)&gt;=N($G$2),N(AS$2)&lt;=N($E60)),AS$2,"")</f>
        <v/>
      </c>
      <c r="AT60" s="25">
        <f>IF(AND(ISNUMBER($E60),N(AT$2)&gt;=N($G$2),N(AT$2)&lt;=N($E60)),AT$2,"")</f>
        <v/>
      </c>
      <c r="AU60" s="25">
        <f>IF(AND(ISNUMBER($E60),N(AU$2)&gt;=N($G$2),N(AU$2)&lt;=N($E60)),AU$2,"")</f>
        <v/>
      </c>
      <c r="AV60" s="25">
        <f>IF(AND(ISNUMBER($E60),N(AV$2)&gt;=N($G$2),N(AV$2)&lt;=N($E60)),AV$2,"")</f>
        <v/>
      </c>
      <c r="AW60" s="25">
        <f>IF(AND(ISNUMBER($E60),N(AW$2)&gt;=N($G$2),N(AW$2)&lt;=N($E60)),AW$2,"")</f>
        <v/>
      </c>
      <c r="AX60" s="25">
        <f>IF(AND(ISNUMBER($E60),N(AX$2)&gt;=N($G$2),N(AX$2)&lt;=N($E60)),AX$2,"")</f>
        <v/>
      </c>
      <c r="AY60" s="25">
        <f>IF(AND(ISNUMBER($E60),N(AY$2)&gt;=N($G$2),N(AY$2)&lt;=N($E60)),AY$2,"")</f>
        <v/>
      </c>
      <c r="AZ60" s="25">
        <f>IF(AND(ISNUMBER($E60),N(AZ$2)&gt;=N($G$2),N(AZ$2)&lt;=N($E60)),AZ$2,"")</f>
        <v/>
      </c>
      <c r="BA60" s="25">
        <f>IF(AND(ISNUMBER($E60),N(BA$2)&gt;=N($G$2),N(BA$2)&lt;=N($E60)),BA$2,"")</f>
        <v/>
      </c>
      <c r="BB60" s="25">
        <f>IF(AND(ISNUMBER($E60),N(BB$2)&gt;=N($G$2),N(BB$2)&lt;=N($E60)),BB$2,"")</f>
        <v/>
      </c>
      <c r="BC60" s="25">
        <f>IF(AND(ISNUMBER($E60),N(BC$2)&gt;=N($G$2),N(BC$2)&lt;=N($E60)),BC$2,"")</f>
        <v/>
      </c>
      <c r="BD60" s="25">
        <f>IF(AND(ISNUMBER($E60),N(BD$2)&gt;=N($G$2),N(BD$2)&lt;=N($E60)),BD$2,"")</f>
        <v/>
      </c>
      <c r="BE60" s="25">
        <f>IF(AND(ISNUMBER($E60),N(BE$2)&gt;=N($G$2),N(BE$2)&lt;=N($E60)),BE$2,"")</f>
        <v/>
      </c>
      <c r="BF60" s="25">
        <f>IF(AND(ISNUMBER($E60),N(BF$2)&gt;=N($G$2),N(BF$2)&lt;=N($E60)),BF$2,"")</f>
        <v/>
      </c>
      <c r="BG60" s="25">
        <f>IF(AND(ISNUMBER($E60),N(BG$2)&gt;=N($G$2),N(BG$2)&lt;=N($E60)),BG$2,"")</f>
        <v/>
      </c>
      <c r="BH60" s="25">
        <f>IF(AND(ISNUMBER($E60),N(BH$2)&gt;=N($G$2),N(BH$2)&lt;=N($E60)),BH$2,"")</f>
        <v/>
      </c>
      <c r="BI60" s="25">
        <f>IF(AND(ISNUMBER($E60),N(BI$2)&gt;=N($G$2),N(BI$2)&lt;=N($E60)),BI$2,"")</f>
        <v/>
      </c>
      <c r="BJ60" s="25">
        <f>IF(AND(ISNUMBER($E60),N(BJ$2)&gt;=N($G$2),N(BJ$2)&lt;=N($E60)),BJ$2,"")</f>
        <v/>
      </c>
      <c r="BK60" s="25">
        <f>IF(AND(ISNUMBER($E60),N(BK$2)&gt;=N($G$2),N(BK$2)&lt;=N($E60)),BK$2,"")</f>
        <v/>
      </c>
      <c r="BL60" s="25">
        <f>IF(AND(ISNUMBER($E60),N(BL$2)&gt;=N($G$2),N(BL$2)&lt;=N($E60)),BL$2,"")</f>
        <v/>
      </c>
      <c r="BM60" s="25">
        <f>IF(AND(ISNUMBER($E60),N(BM$2)&gt;=N($G$2),N(BM$2)&lt;=N($E60)),BM$2,"")</f>
        <v/>
      </c>
      <c r="BN60" s="25">
        <f>IF(AND(ISNUMBER($E60),N(BN$2)&gt;=N($G$2),N(BN$2)&lt;=N($E60)),BN$2,"")</f>
        <v/>
      </c>
      <c r="BO60" s="25">
        <f>IF(AND(ISNUMBER($E60),N(BO$2)&gt;=N($G$2),N(BO$2)&lt;=N($E60)),BO$2,"")</f>
        <v/>
      </c>
    </row>
    <row r="61" ht="20" customHeight="1">
      <c r="A61" s="21" t="inlineStr">
        <is>
          <t>预估</t>
        </is>
      </c>
      <c r="B61" s="21" t="inlineStr">
        <is>
          <t>第二期</t>
        </is>
      </c>
      <c r="C61" s="22" t="inlineStr">
        <is>
          <t>二期零件图纸整理归档</t>
        </is>
      </c>
      <c r="D61" s="23">
        <f>'时间节点计划表'!E31</f>
        <v/>
      </c>
      <c r="E61" s="23">
        <f>IF(COUNT('时间节点计划表'!F31),'时间节点计划表'!F31,"")</f>
        <v/>
      </c>
      <c r="F61" s="24" t="inlineStr"/>
      <c r="G61" s="25">
        <f>IF(AND(ISNUMBER($D61),N(G$2)&gt;=N($G$2),N(G$2)&lt;=N($D61)),G$2,"")</f>
        <v/>
      </c>
      <c r="H61" s="25">
        <f>IF(AND(ISNUMBER($D61),N(H$2)&gt;=N($G$2),N(H$2)&lt;=N($D61)),H$2,"")</f>
        <v/>
      </c>
      <c r="I61" s="25">
        <f>IF(AND(ISNUMBER($D61),N(I$2)&gt;=N($G$2),N(I$2)&lt;=N($D61)),I$2,"")</f>
        <v/>
      </c>
      <c r="J61" s="25">
        <f>IF(AND(ISNUMBER($D61),N(J$2)&gt;=N($G$2),N(J$2)&lt;=N($D61)),J$2,"")</f>
        <v/>
      </c>
      <c r="K61" s="25">
        <f>IF(AND(ISNUMBER($D61),N(K$2)&gt;=N($G$2),N(K$2)&lt;=N($D61)),K$2,"")</f>
        <v/>
      </c>
      <c r="L61" s="25">
        <f>IF(AND(ISNUMBER($D61),N(L$2)&gt;=N($G$2),N(L$2)&lt;=N($D61)),L$2,"")</f>
        <v/>
      </c>
      <c r="M61" s="25">
        <f>IF(AND(ISNUMBER($D61),N(M$2)&gt;=N($G$2),N(M$2)&lt;=N($D61)),M$2,"")</f>
        <v/>
      </c>
      <c r="N61" s="25">
        <f>IF(AND(ISNUMBER($D61),N(N$2)&gt;=N($G$2),N(N$2)&lt;=N($D61)),N$2,"")</f>
        <v/>
      </c>
      <c r="O61" s="25">
        <f>IF(AND(ISNUMBER($D61),N(O$2)&gt;=N($G$2),N(O$2)&lt;=N($D61)),O$2,"")</f>
        <v/>
      </c>
      <c r="P61" s="25">
        <f>IF(AND(ISNUMBER($D61),N(P$2)&gt;=N($G$2),N(P$2)&lt;=N($D61)),P$2,"")</f>
        <v/>
      </c>
      <c r="Q61" s="25">
        <f>IF(AND(ISNUMBER($D61),N(Q$2)&gt;=N($G$2),N(Q$2)&lt;=N($D61)),Q$2,"")</f>
        <v/>
      </c>
      <c r="R61" s="25">
        <f>IF(AND(ISNUMBER($D61),N(R$2)&gt;=N($G$2),N(R$2)&lt;=N($D61)),R$2,"")</f>
        <v/>
      </c>
      <c r="S61" s="25">
        <f>IF(AND(ISNUMBER($D61),N(S$2)&gt;=N($G$2),N(S$2)&lt;=N($D61)),S$2,"")</f>
        <v/>
      </c>
      <c r="T61" s="25">
        <f>IF(AND(ISNUMBER($D61),N(T$2)&gt;=N($G$2),N(T$2)&lt;=N($D61)),T$2,"")</f>
        <v/>
      </c>
      <c r="U61" s="25">
        <f>IF(AND(ISNUMBER($D61),N(U$2)&gt;=N($G$2),N(U$2)&lt;=N($D61)),U$2,"")</f>
        <v/>
      </c>
      <c r="V61" s="25">
        <f>IF(AND(ISNUMBER($D61),N(V$2)&gt;=N($G$2),N(V$2)&lt;=N($D61)),V$2,"")</f>
        <v/>
      </c>
      <c r="W61" s="25">
        <f>IF(AND(ISNUMBER($D61),N(W$2)&gt;=N($G$2),N(W$2)&lt;=N($D61)),W$2,"")</f>
        <v/>
      </c>
      <c r="X61" s="25">
        <f>IF(AND(ISNUMBER($D61),N(X$2)&gt;=N($G$2),N(X$2)&lt;=N($D61)),X$2,"")</f>
        <v/>
      </c>
      <c r="Y61" s="25">
        <f>IF(AND(ISNUMBER($D61),N(Y$2)&gt;=N($G$2),N(Y$2)&lt;=N($D61)),Y$2,"")</f>
        <v/>
      </c>
      <c r="Z61" s="25">
        <f>IF(AND(ISNUMBER($D61),N(Z$2)&gt;=N($G$2),N(Z$2)&lt;=N($D61)),Z$2,"")</f>
        <v/>
      </c>
      <c r="AA61" s="25">
        <f>IF(AND(ISNUMBER($D61),N(AA$2)&gt;=N($G$2),N(AA$2)&lt;=N($D61)),AA$2,"")</f>
        <v/>
      </c>
      <c r="AB61" s="25">
        <f>IF(AND(ISNUMBER($D61),N(AB$2)&gt;=N($G$2),N(AB$2)&lt;=N($D61)),AB$2,"")</f>
        <v/>
      </c>
      <c r="AC61" s="25">
        <f>IF(AND(ISNUMBER($D61),N(AC$2)&gt;=N($G$2),N(AC$2)&lt;=N($D61)),AC$2,"")</f>
        <v/>
      </c>
      <c r="AD61" s="25">
        <f>IF(AND(ISNUMBER($D61),N(AD$2)&gt;=N($G$2),N(AD$2)&lt;=N($D61)),AD$2,"")</f>
        <v/>
      </c>
      <c r="AE61" s="25">
        <f>IF(AND(ISNUMBER($D61),N(AE$2)&gt;=N($G$2),N(AE$2)&lt;=N($D61)),AE$2,"")</f>
        <v/>
      </c>
      <c r="AF61" s="25">
        <f>IF(AND(ISNUMBER($D61),N(AF$2)&gt;=N($G$2),N(AF$2)&lt;=N($D61)),AF$2,"")</f>
        <v/>
      </c>
      <c r="AG61" s="25">
        <f>IF(AND(ISNUMBER($D61),N(AG$2)&gt;=N($G$2),N(AG$2)&lt;=N($D61)),AG$2,"")</f>
        <v/>
      </c>
      <c r="AH61" s="25">
        <f>IF(AND(ISNUMBER($D61),N(AH$2)&gt;=N($G$2),N(AH$2)&lt;=N($D61)),AH$2,"")</f>
        <v/>
      </c>
      <c r="AI61" s="25">
        <f>IF(AND(ISNUMBER($D61),N(AI$2)&gt;=N($G$2),N(AI$2)&lt;=N($D61)),AI$2,"")</f>
        <v/>
      </c>
      <c r="AJ61" s="25">
        <f>IF(AND(ISNUMBER($D61),N(AJ$2)&gt;=N($G$2),N(AJ$2)&lt;=N($D61)),AJ$2,"")</f>
        <v/>
      </c>
      <c r="AK61" s="25">
        <f>IF(AND(ISNUMBER($D61),N(AK$2)&gt;=N($G$2),N(AK$2)&lt;=N($D61)),AK$2,"")</f>
        <v/>
      </c>
      <c r="AL61" s="25">
        <f>IF(AND(ISNUMBER($D61),N(AL$2)&gt;=N($G$2),N(AL$2)&lt;=N($D61)),AL$2,"")</f>
        <v/>
      </c>
      <c r="AM61" s="25">
        <f>IF(AND(ISNUMBER($D61),N(AM$2)&gt;=N($G$2),N(AM$2)&lt;=N($D61)),AM$2,"")</f>
        <v/>
      </c>
      <c r="AN61" s="25">
        <f>IF(AND(ISNUMBER($D61),N(AN$2)&gt;=N($G$2),N(AN$2)&lt;=N($D61)),AN$2,"")</f>
        <v/>
      </c>
      <c r="AO61" s="25">
        <f>IF(AND(ISNUMBER($D61),N(AO$2)&gt;=N($G$2),N(AO$2)&lt;=N($D61)),AO$2,"")</f>
        <v/>
      </c>
      <c r="AP61" s="25">
        <f>IF(AND(ISNUMBER($D61),N(AP$2)&gt;=N($G$2),N(AP$2)&lt;=N($D61)),AP$2,"")</f>
        <v/>
      </c>
      <c r="AQ61" s="25">
        <f>IF(AND(ISNUMBER($D61),N(AQ$2)&gt;=N($G$2),N(AQ$2)&lt;=N($D61)),AQ$2,"")</f>
        <v/>
      </c>
      <c r="AR61" s="25">
        <f>IF(AND(ISNUMBER($D61),N(AR$2)&gt;=N($G$2),N(AR$2)&lt;=N($D61)),AR$2,"")</f>
        <v/>
      </c>
      <c r="AS61" s="25">
        <f>IF(AND(ISNUMBER($D61),N(AS$2)&gt;=N($G$2),N(AS$2)&lt;=N($D61)),AS$2,"")</f>
        <v/>
      </c>
      <c r="AT61" s="25">
        <f>IF(AND(ISNUMBER($D61),N(AT$2)&gt;=N($G$2),N(AT$2)&lt;=N($D61)),AT$2,"")</f>
        <v/>
      </c>
      <c r="AU61" s="25">
        <f>IF(AND(ISNUMBER($D61),N(AU$2)&gt;=N($G$2),N(AU$2)&lt;=N($D61)),AU$2,"")</f>
        <v/>
      </c>
      <c r="AV61" s="25">
        <f>IF(AND(ISNUMBER($D61),N(AV$2)&gt;=N($G$2),N(AV$2)&lt;=N($D61)),AV$2,"")</f>
        <v/>
      </c>
      <c r="AW61" s="25">
        <f>IF(AND(ISNUMBER($D61),N(AW$2)&gt;=N($G$2),N(AW$2)&lt;=N($D61)),AW$2,"")</f>
        <v/>
      </c>
      <c r="AX61" s="25">
        <f>IF(AND(ISNUMBER($D61),N(AX$2)&gt;=N($G$2),N(AX$2)&lt;=N($D61)),AX$2,"")</f>
        <v/>
      </c>
      <c r="AY61" s="25">
        <f>IF(AND(ISNUMBER($D61),N(AY$2)&gt;=N($G$2),N(AY$2)&lt;=N($D61)),AY$2,"")</f>
        <v/>
      </c>
      <c r="AZ61" s="25">
        <f>IF(AND(ISNUMBER($D61),N(AZ$2)&gt;=N($G$2),N(AZ$2)&lt;=N($D61)),AZ$2,"")</f>
        <v/>
      </c>
      <c r="BA61" s="25">
        <f>IF(AND(ISNUMBER($D61),N(BA$2)&gt;=N($G$2),N(BA$2)&lt;=N($D61)),BA$2,"")</f>
        <v/>
      </c>
      <c r="BB61" s="25">
        <f>IF(AND(ISNUMBER($D61),N(BB$2)&gt;=N($G$2),N(BB$2)&lt;=N($D61)),BB$2,"")</f>
        <v/>
      </c>
      <c r="BC61" s="25">
        <f>IF(AND(ISNUMBER($D61),N(BC$2)&gt;=N($G$2),N(BC$2)&lt;=N($D61)),BC$2,"")</f>
        <v/>
      </c>
      <c r="BD61" s="25">
        <f>IF(AND(ISNUMBER($D61),N(BD$2)&gt;=N($G$2),N(BD$2)&lt;=N($D61)),BD$2,"")</f>
        <v/>
      </c>
      <c r="BE61" s="25">
        <f>IF(AND(ISNUMBER($D61),N(BE$2)&gt;=N($G$2),N(BE$2)&lt;=N($D61)),BE$2,"")</f>
        <v/>
      </c>
      <c r="BF61" s="25">
        <f>IF(AND(ISNUMBER($D61),N(BF$2)&gt;=N($G$2),N(BF$2)&lt;=N($D61)),BF$2,"")</f>
        <v/>
      </c>
      <c r="BG61" s="25">
        <f>IF(AND(ISNUMBER($D61),N(BG$2)&gt;=N($G$2),N(BG$2)&lt;=N($D61)),BG$2,"")</f>
        <v/>
      </c>
      <c r="BH61" s="25">
        <f>IF(AND(ISNUMBER($D61),N(BH$2)&gt;=N($G$2),N(BH$2)&lt;=N($D61)),BH$2,"")</f>
        <v/>
      </c>
      <c r="BI61" s="25">
        <f>IF(AND(ISNUMBER($D61),N(BI$2)&gt;=N($G$2),N(BI$2)&lt;=N($D61)),BI$2,"")</f>
        <v/>
      </c>
      <c r="BJ61" s="25">
        <f>IF(AND(ISNUMBER($D61),N(BJ$2)&gt;=N($G$2),N(BJ$2)&lt;=N($D61)),BJ$2,"")</f>
        <v/>
      </c>
      <c r="BK61" s="25">
        <f>IF(AND(ISNUMBER($D61),N(BK$2)&gt;=N($G$2),N(BK$2)&lt;=N($D61)),BK$2,"")</f>
        <v/>
      </c>
      <c r="BL61" s="25">
        <f>IF(AND(ISNUMBER($D61),N(BL$2)&gt;=N($G$2),N(BL$2)&lt;=N($D61)),BL$2,"")</f>
        <v/>
      </c>
      <c r="BM61" s="25">
        <f>IF(AND(ISNUMBER($D61),N(BM$2)&gt;=N($G$2),N(BM$2)&lt;=N($D61)),BM$2,"")</f>
        <v/>
      </c>
      <c r="BN61" s="25">
        <f>IF(AND(ISNUMBER($D61),N(BN$2)&gt;=N($G$2),N(BN$2)&lt;=N($D61)),BN$2,"")</f>
        <v/>
      </c>
      <c r="BO61" s="25">
        <f>IF(AND(ISNUMBER($D61),N(BO$2)&gt;=N($G$2),N(BO$2)&lt;=N($D61)),BO$2,"")</f>
        <v/>
      </c>
    </row>
    <row r="62" ht="20" customHeight="1">
      <c r="A62" s="26" t="inlineStr">
        <is>
          <t>实际</t>
        </is>
      </c>
      <c r="B62" s="26" t="inlineStr">
        <is>
          <t>第二期</t>
        </is>
      </c>
      <c r="C62" s="27" t="inlineStr">
        <is>
          <t>二期零件图纸整理归档</t>
        </is>
      </c>
      <c r="D62" s="28">
        <f>'时间节点计划表'!E31</f>
        <v/>
      </c>
      <c r="E62" s="28">
        <f>IF(COUNT('时间节点计划表'!F31),'时间节点计划表'!F31,"")</f>
        <v/>
      </c>
      <c r="F62" s="29">
        <f>IF(OR(D62="",E62=""),"待填",E62-D62)</f>
        <v/>
      </c>
      <c r="G62" s="25">
        <f>IF(AND(ISNUMBER($E62),N(G$2)&gt;=N($G$2),N(G$2)&lt;=N($E62)),G$2,"")</f>
        <v/>
      </c>
      <c r="H62" s="25">
        <f>IF(AND(ISNUMBER($E62),N(H$2)&gt;=N($G$2),N(H$2)&lt;=N($E62)),H$2,"")</f>
        <v/>
      </c>
      <c r="I62" s="25">
        <f>IF(AND(ISNUMBER($E62),N(I$2)&gt;=N($G$2),N(I$2)&lt;=N($E62)),I$2,"")</f>
        <v/>
      </c>
      <c r="J62" s="25">
        <f>IF(AND(ISNUMBER($E62),N(J$2)&gt;=N($G$2),N(J$2)&lt;=N($E62)),J$2,"")</f>
        <v/>
      </c>
      <c r="K62" s="25">
        <f>IF(AND(ISNUMBER($E62),N(K$2)&gt;=N($G$2),N(K$2)&lt;=N($E62)),K$2,"")</f>
        <v/>
      </c>
      <c r="L62" s="25">
        <f>IF(AND(ISNUMBER($E62),N(L$2)&gt;=N($G$2),N(L$2)&lt;=N($E62)),L$2,"")</f>
        <v/>
      </c>
      <c r="M62" s="25">
        <f>IF(AND(ISNUMBER($E62),N(M$2)&gt;=N($G$2),N(M$2)&lt;=N($E62)),M$2,"")</f>
        <v/>
      </c>
      <c r="N62" s="25">
        <f>IF(AND(ISNUMBER($E62),N(N$2)&gt;=N($G$2),N(N$2)&lt;=N($E62)),N$2,"")</f>
        <v/>
      </c>
      <c r="O62" s="25">
        <f>IF(AND(ISNUMBER($E62),N(O$2)&gt;=N($G$2),N(O$2)&lt;=N($E62)),O$2,"")</f>
        <v/>
      </c>
      <c r="P62" s="25">
        <f>IF(AND(ISNUMBER($E62),N(P$2)&gt;=N($G$2),N(P$2)&lt;=N($E62)),P$2,"")</f>
        <v/>
      </c>
      <c r="Q62" s="25">
        <f>IF(AND(ISNUMBER($E62),N(Q$2)&gt;=N($G$2),N(Q$2)&lt;=N($E62)),Q$2,"")</f>
        <v/>
      </c>
      <c r="R62" s="25">
        <f>IF(AND(ISNUMBER($E62),N(R$2)&gt;=N($G$2),N(R$2)&lt;=N($E62)),R$2,"")</f>
        <v/>
      </c>
      <c r="S62" s="25">
        <f>IF(AND(ISNUMBER($E62),N(S$2)&gt;=N($G$2),N(S$2)&lt;=N($E62)),S$2,"")</f>
        <v/>
      </c>
      <c r="T62" s="25">
        <f>IF(AND(ISNUMBER($E62),N(T$2)&gt;=N($G$2),N(T$2)&lt;=N($E62)),T$2,"")</f>
        <v/>
      </c>
      <c r="U62" s="25">
        <f>IF(AND(ISNUMBER($E62),N(U$2)&gt;=N($G$2),N(U$2)&lt;=N($E62)),U$2,"")</f>
        <v/>
      </c>
      <c r="V62" s="25">
        <f>IF(AND(ISNUMBER($E62),N(V$2)&gt;=N($G$2),N(V$2)&lt;=N($E62)),V$2,"")</f>
        <v/>
      </c>
      <c r="W62" s="25">
        <f>IF(AND(ISNUMBER($E62),N(W$2)&gt;=N($G$2),N(W$2)&lt;=N($E62)),W$2,"")</f>
        <v/>
      </c>
      <c r="X62" s="25">
        <f>IF(AND(ISNUMBER($E62),N(X$2)&gt;=N($G$2),N(X$2)&lt;=N($E62)),X$2,"")</f>
        <v/>
      </c>
      <c r="Y62" s="25">
        <f>IF(AND(ISNUMBER($E62),N(Y$2)&gt;=N($G$2),N(Y$2)&lt;=N($E62)),Y$2,"")</f>
        <v/>
      </c>
      <c r="Z62" s="25">
        <f>IF(AND(ISNUMBER($E62),N(Z$2)&gt;=N($G$2),N(Z$2)&lt;=N($E62)),Z$2,"")</f>
        <v/>
      </c>
      <c r="AA62" s="25">
        <f>IF(AND(ISNUMBER($E62),N(AA$2)&gt;=N($G$2),N(AA$2)&lt;=N($E62)),AA$2,"")</f>
        <v/>
      </c>
      <c r="AB62" s="25">
        <f>IF(AND(ISNUMBER($E62),N(AB$2)&gt;=N($G$2),N(AB$2)&lt;=N($E62)),AB$2,"")</f>
        <v/>
      </c>
      <c r="AC62" s="25">
        <f>IF(AND(ISNUMBER($E62),N(AC$2)&gt;=N($G$2),N(AC$2)&lt;=N($E62)),AC$2,"")</f>
        <v/>
      </c>
      <c r="AD62" s="25">
        <f>IF(AND(ISNUMBER($E62),N(AD$2)&gt;=N($G$2),N(AD$2)&lt;=N($E62)),AD$2,"")</f>
        <v/>
      </c>
      <c r="AE62" s="25">
        <f>IF(AND(ISNUMBER($E62),N(AE$2)&gt;=N($G$2),N(AE$2)&lt;=N($E62)),AE$2,"")</f>
        <v/>
      </c>
      <c r="AF62" s="25">
        <f>IF(AND(ISNUMBER($E62),N(AF$2)&gt;=N($G$2),N(AF$2)&lt;=N($E62)),AF$2,"")</f>
        <v/>
      </c>
      <c r="AG62" s="25">
        <f>IF(AND(ISNUMBER($E62),N(AG$2)&gt;=N($G$2),N(AG$2)&lt;=N($E62)),AG$2,"")</f>
        <v/>
      </c>
      <c r="AH62" s="25">
        <f>IF(AND(ISNUMBER($E62),N(AH$2)&gt;=N($G$2),N(AH$2)&lt;=N($E62)),AH$2,"")</f>
        <v/>
      </c>
      <c r="AI62" s="25">
        <f>IF(AND(ISNUMBER($E62),N(AI$2)&gt;=N($G$2),N(AI$2)&lt;=N($E62)),AI$2,"")</f>
        <v/>
      </c>
      <c r="AJ62" s="25">
        <f>IF(AND(ISNUMBER($E62),N(AJ$2)&gt;=N($G$2),N(AJ$2)&lt;=N($E62)),AJ$2,"")</f>
        <v/>
      </c>
      <c r="AK62" s="25">
        <f>IF(AND(ISNUMBER($E62),N(AK$2)&gt;=N($G$2),N(AK$2)&lt;=N($E62)),AK$2,"")</f>
        <v/>
      </c>
      <c r="AL62" s="25">
        <f>IF(AND(ISNUMBER($E62),N(AL$2)&gt;=N($G$2),N(AL$2)&lt;=N($E62)),AL$2,"")</f>
        <v/>
      </c>
      <c r="AM62" s="25">
        <f>IF(AND(ISNUMBER($E62),N(AM$2)&gt;=N($G$2),N(AM$2)&lt;=N($E62)),AM$2,"")</f>
        <v/>
      </c>
      <c r="AN62" s="25">
        <f>IF(AND(ISNUMBER($E62),N(AN$2)&gt;=N($G$2),N(AN$2)&lt;=N($E62)),AN$2,"")</f>
        <v/>
      </c>
      <c r="AO62" s="25">
        <f>IF(AND(ISNUMBER($E62),N(AO$2)&gt;=N($G$2),N(AO$2)&lt;=N($E62)),AO$2,"")</f>
        <v/>
      </c>
      <c r="AP62" s="25">
        <f>IF(AND(ISNUMBER($E62),N(AP$2)&gt;=N($G$2),N(AP$2)&lt;=N($E62)),AP$2,"")</f>
        <v/>
      </c>
      <c r="AQ62" s="25">
        <f>IF(AND(ISNUMBER($E62),N(AQ$2)&gt;=N($G$2),N(AQ$2)&lt;=N($E62)),AQ$2,"")</f>
        <v/>
      </c>
      <c r="AR62" s="25">
        <f>IF(AND(ISNUMBER($E62),N(AR$2)&gt;=N($G$2),N(AR$2)&lt;=N($E62)),AR$2,"")</f>
        <v/>
      </c>
      <c r="AS62" s="25">
        <f>IF(AND(ISNUMBER($E62),N(AS$2)&gt;=N($G$2),N(AS$2)&lt;=N($E62)),AS$2,"")</f>
        <v/>
      </c>
      <c r="AT62" s="25">
        <f>IF(AND(ISNUMBER($E62),N(AT$2)&gt;=N($G$2),N(AT$2)&lt;=N($E62)),AT$2,"")</f>
        <v/>
      </c>
      <c r="AU62" s="25">
        <f>IF(AND(ISNUMBER($E62),N(AU$2)&gt;=N($G$2),N(AU$2)&lt;=N($E62)),AU$2,"")</f>
        <v/>
      </c>
      <c r="AV62" s="25">
        <f>IF(AND(ISNUMBER($E62),N(AV$2)&gt;=N($G$2),N(AV$2)&lt;=N($E62)),AV$2,"")</f>
        <v/>
      </c>
      <c r="AW62" s="25">
        <f>IF(AND(ISNUMBER($E62),N(AW$2)&gt;=N($G$2),N(AW$2)&lt;=N($E62)),AW$2,"")</f>
        <v/>
      </c>
      <c r="AX62" s="25">
        <f>IF(AND(ISNUMBER($E62),N(AX$2)&gt;=N($G$2),N(AX$2)&lt;=N($E62)),AX$2,"")</f>
        <v/>
      </c>
      <c r="AY62" s="25">
        <f>IF(AND(ISNUMBER($E62),N(AY$2)&gt;=N($G$2),N(AY$2)&lt;=N($E62)),AY$2,"")</f>
        <v/>
      </c>
      <c r="AZ62" s="25">
        <f>IF(AND(ISNUMBER($E62),N(AZ$2)&gt;=N($G$2),N(AZ$2)&lt;=N($E62)),AZ$2,"")</f>
        <v/>
      </c>
      <c r="BA62" s="25">
        <f>IF(AND(ISNUMBER($E62),N(BA$2)&gt;=N($G$2),N(BA$2)&lt;=N($E62)),BA$2,"")</f>
        <v/>
      </c>
      <c r="BB62" s="25">
        <f>IF(AND(ISNUMBER($E62),N(BB$2)&gt;=N($G$2),N(BB$2)&lt;=N($E62)),BB$2,"")</f>
        <v/>
      </c>
      <c r="BC62" s="25">
        <f>IF(AND(ISNUMBER($E62),N(BC$2)&gt;=N($G$2),N(BC$2)&lt;=N($E62)),BC$2,"")</f>
        <v/>
      </c>
      <c r="BD62" s="25">
        <f>IF(AND(ISNUMBER($E62),N(BD$2)&gt;=N($G$2),N(BD$2)&lt;=N($E62)),BD$2,"")</f>
        <v/>
      </c>
      <c r="BE62" s="25">
        <f>IF(AND(ISNUMBER($E62),N(BE$2)&gt;=N($G$2),N(BE$2)&lt;=N($E62)),BE$2,"")</f>
        <v/>
      </c>
      <c r="BF62" s="25">
        <f>IF(AND(ISNUMBER($E62),N(BF$2)&gt;=N($G$2),N(BF$2)&lt;=N($E62)),BF$2,"")</f>
        <v/>
      </c>
      <c r="BG62" s="25">
        <f>IF(AND(ISNUMBER($E62),N(BG$2)&gt;=N($G$2),N(BG$2)&lt;=N($E62)),BG$2,"")</f>
        <v/>
      </c>
      <c r="BH62" s="25">
        <f>IF(AND(ISNUMBER($E62),N(BH$2)&gt;=N($G$2),N(BH$2)&lt;=N($E62)),BH$2,"")</f>
        <v/>
      </c>
      <c r="BI62" s="25">
        <f>IF(AND(ISNUMBER($E62),N(BI$2)&gt;=N($G$2),N(BI$2)&lt;=N($E62)),BI$2,"")</f>
        <v/>
      </c>
      <c r="BJ62" s="25">
        <f>IF(AND(ISNUMBER($E62),N(BJ$2)&gt;=N($G$2),N(BJ$2)&lt;=N($E62)),BJ$2,"")</f>
        <v/>
      </c>
      <c r="BK62" s="25">
        <f>IF(AND(ISNUMBER($E62),N(BK$2)&gt;=N($G$2),N(BK$2)&lt;=N($E62)),BK$2,"")</f>
        <v/>
      </c>
      <c r="BL62" s="25">
        <f>IF(AND(ISNUMBER($E62),N(BL$2)&gt;=N($G$2),N(BL$2)&lt;=N($E62)),BL$2,"")</f>
        <v/>
      </c>
      <c r="BM62" s="25">
        <f>IF(AND(ISNUMBER($E62),N(BM$2)&gt;=N($G$2),N(BM$2)&lt;=N($E62)),BM$2,"")</f>
        <v/>
      </c>
      <c r="BN62" s="25">
        <f>IF(AND(ISNUMBER($E62),N(BN$2)&gt;=N($G$2),N(BN$2)&lt;=N($E62)),BN$2,"")</f>
        <v/>
      </c>
      <c r="BO62" s="25">
        <f>IF(AND(ISNUMBER($E62),N(BO$2)&gt;=N($G$2),N(BO$2)&lt;=N($E62)),BO$2,"")</f>
        <v/>
      </c>
    </row>
    <row r="63" ht="20" customHeight="1">
      <c r="A63" s="21" t="inlineStr">
        <is>
          <t>预估</t>
        </is>
      </c>
      <c r="B63" s="21" t="inlineStr">
        <is>
          <t>第二期</t>
        </is>
      </c>
      <c r="C63" s="22" t="inlineStr">
        <is>
          <t>二期零件下单采购</t>
        </is>
      </c>
      <c r="D63" s="23">
        <f>'时间节点计划表'!E32</f>
        <v/>
      </c>
      <c r="E63" s="23">
        <f>IF(COUNT('时间节点计划表'!F32),'时间节点计划表'!F32,"")</f>
        <v/>
      </c>
      <c r="F63" s="24" t="inlineStr"/>
      <c r="G63" s="25">
        <f>IF(AND(ISNUMBER($D63),N(G$2)&gt;=N($G$2),N(G$2)&lt;=N($D63)),G$2,"")</f>
        <v/>
      </c>
      <c r="H63" s="25">
        <f>IF(AND(ISNUMBER($D63),N(H$2)&gt;=N($G$2),N(H$2)&lt;=N($D63)),H$2,"")</f>
        <v/>
      </c>
      <c r="I63" s="25">
        <f>IF(AND(ISNUMBER($D63),N(I$2)&gt;=N($G$2),N(I$2)&lt;=N($D63)),I$2,"")</f>
        <v/>
      </c>
      <c r="J63" s="25">
        <f>IF(AND(ISNUMBER($D63),N(J$2)&gt;=N($G$2),N(J$2)&lt;=N($D63)),J$2,"")</f>
        <v/>
      </c>
      <c r="K63" s="25">
        <f>IF(AND(ISNUMBER($D63),N(K$2)&gt;=N($G$2),N(K$2)&lt;=N($D63)),K$2,"")</f>
        <v/>
      </c>
      <c r="L63" s="25">
        <f>IF(AND(ISNUMBER($D63),N(L$2)&gt;=N($G$2),N(L$2)&lt;=N($D63)),L$2,"")</f>
        <v/>
      </c>
      <c r="M63" s="25">
        <f>IF(AND(ISNUMBER($D63),N(M$2)&gt;=N($G$2),N(M$2)&lt;=N($D63)),M$2,"")</f>
        <v/>
      </c>
      <c r="N63" s="25">
        <f>IF(AND(ISNUMBER($D63),N(N$2)&gt;=N($G$2),N(N$2)&lt;=N($D63)),N$2,"")</f>
        <v/>
      </c>
      <c r="O63" s="25">
        <f>IF(AND(ISNUMBER($D63),N(O$2)&gt;=N($G$2),N(O$2)&lt;=N($D63)),O$2,"")</f>
        <v/>
      </c>
      <c r="P63" s="25">
        <f>IF(AND(ISNUMBER($D63),N(P$2)&gt;=N($G$2),N(P$2)&lt;=N($D63)),P$2,"")</f>
        <v/>
      </c>
      <c r="Q63" s="25">
        <f>IF(AND(ISNUMBER($D63),N(Q$2)&gt;=N($G$2),N(Q$2)&lt;=N($D63)),Q$2,"")</f>
        <v/>
      </c>
      <c r="R63" s="25">
        <f>IF(AND(ISNUMBER($D63),N(R$2)&gt;=N($G$2),N(R$2)&lt;=N($D63)),R$2,"")</f>
        <v/>
      </c>
      <c r="S63" s="25">
        <f>IF(AND(ISNUMBER($D63),N(S$2)&gt;=N($G$2),N(S$2)&lt;=N($D63)),S$2,"")</f>
        <v/>
      </c>
      <c r="T63" s="25">
        <f>IF(AND(ISNUMBER($D63),N(T$2)&gt;=N($G$2),N(T$2)&lt;=N($D63)),T$2,"")</f>
        <v/>
      </c>
      <c r="U63" s="25">
        <f>IF(AND(ISNUMBER($D63),N(U$2)&gt;=N($G$2),N(U$2)&lt;=N($D63)),U$2,"")</f>
        <v/>
      </c>
      <c r="V63" s="25">
        <f>IF(AND(ISNUMBER($D63),N(V$2)&gt;=N($G$2),N(V$2)&lt;=N($D63)),V$2,"")</f>
        <v/>
      </c>
      <c r="W63" s="25">
        <f>IF(AND(ISNUMBER($D63),N(W$2)&gt;=N($G$2),N(W$2)&lt;=N($D63)),W$2,"")</f>
        <v/>
      </c>
      <c r="X63" s="25">
        <f>IF(AND(ISNUMBER($D63),N(X$2)&gt;=N($G$2),N(X$2)&lt;=N($D63)),X$2,"")</f>
        <v/>
      </c>
      <c r="Y63" s="25">
        <f>IF(AND(ISNUMBER($D63),N(Y$2)&gt;=N($G$2),N(Y$2)&lt;=N($D63)),Y$2,"")</f>
        <v/>
      </c>
      <c r="Z63" s="25">
        <f>IF(AND(ISNUMBER($D63),N(Z$2)&gt;=N($G$2),N(Z$2)&lt;=N($D63)),Z$2,"")</f>
        <v/>
      </c>
      <c r="AA63" s="25">
        <f>IF(AND(ISNUMBER($D63),N(AA$2)&gt;=N($G$2),N(AA$2)&lt;=N($D63)),AA$2,"")</f>
        <v/>
      </c>
      <c r="AB63" s="25">
        <f>IF(AND(ISNUMBER($D63),N(AB$2)&gt;=N($G$2),N(AB$2)&lt;=N($D63)),AB$2,"")</f>
        <v/>
      </c>
      <c r="AC63" s="25">
        <f>IF(AND(ISNUMBER($D63),N(AC$2)&gt;=N($G$2),N(AC$2)&lt;=N($D63)),AC$2,"")</f>
        <v/>
      </c>
      <c r="AD63" s="25">
        <f>IF(AND(ISNUMBER($D63),N(AD$2)&gt;=N($G$2),N(AD$2)&lt;=N($D63)),AD$2,"")</f>
        <v/>
      </c>
      <c r="AE63" s="25">
        <f>IF(AND(ISNUMBER($D63),N(AE$2)&gt;=N($G$2),N(AE$2)&lt;=N($D63)),AE$2,"")</f>
        <v/>
      </c>
      <c r="AF63" s="25">
        <f>IF(AND(ISNUMBER($D63),N(AF$2)&gt;=N($G$2),N(AF$2)&lt;=N($D63)),AF$2,"")</f>
        <v/>
      </c>
      <c r="AG63" s="25">
        <f>IF(AND(ISNUMBER($D63),N(AG$2)&gt;=N($G$2),N(AG$2)&lt;=N($D63)),AG$2,"")</f>
        <v/>
      </c>
      <c r="AH63" s="25">
        <f>IF(AND(ISNUMBER($D63),N(AH$2)&gt;=N($G$2),N(AH$2)&lt;=N($D63)),AH$2,"")</f>
        <v/>
      </c>
      <c r="AI63" s="25">
        <f>IF(AND(ISNUMBER($D63),N(AI$2)&gt;=N($G$2),N(AI$2)&lt;=N($D63)),AI$2,"")</f>
        <v/>
      </c>
      <c r="AJ63" s="25">
        <f>IF(AND(ISNUMBER($D63),N(AJ$2)&gt;=N($G$2),N(AJ$2)&lt;=N($D63)),AJ$2,"")</f>
        <v/>
      </c>
      <c r="AK63" s="25">
        <f>IF(AND(ISNUMBER($D63),N(AK$2)&gt;=N($G$2),N(AK$2)&lt;=N($D63)),AK$2,"")</f>
        <v/>
      </c>
      <c r="AL63" s="25">
        <f>IF(AND(ISNUMBER($D63),N(AL$2)&gt;=N($G$2),N(AL$2)&lt;=N($D63)),AL$2,"")</f>
        <v/>
      </c>
      <c r="AM63" s="25">
        <f>IF(AND(ISNUMBER($D63),N(AM$2)&gt;=N($G$2),N(AM$2)&lt;=N($D63)),AM$2,"")</f>
        <v/>
      </c>
      <c r="AN63" s="25">
        <f>IF(AND(ISNUMBER($D63),N(AN$2)&gt;=N($G$2),N(AN$2)&lt;=N($D63)),AN$2,"")</f>
        <v/>
      </c>
      <c r="AO63" s="25">
        <f>IF(AND(ISNUMBER($D63),N(AO$2)&gt;=N($G$2),N(AO$2)&lt;=N($D63)),AO$2,"")</f>
        <v/>
      </c>
      <c r="AP63" s="25">
        <f>IF(AND(ISNUMBER($D63),N(AP$2)&gt;=N($G$2),N(AP$2)&lt;=N($D63)),AP$2,"")</f>
        <v/>
      </c>
      <c r="AQ63" s="25">
        <f>IF(AND(ISNUMBER($D63),N(AQ$2)&gt;=N($G$2),N(AQ$2)&lt;=N($D63)),AQ$2,"")</f>
        <v/>
      </c>
      <c r="AR63" s="25">
        <f>IF(AND(ISNUMBER($D63),N(AR$2)&gt;=N($G$2),N(AR$2)&lt;=N($D63)),AR$2,"")</f>
        <v/>
      </c>
      <c r="AS63" s="25">
        <f>IF(AND(ISNUMBER($D63),N(AS$2)&gt;=N($G$2),N(AS$2)&lt;=N($D63)),AS$2,"")</f>
        <v/>
      </c>
      <c r="AT63" s="25">
        <f>IF(AND(ISNUMBER($D63),N(AT$2)&gt;=N($G$2),N(AT$2)&lt;=N($D63)),AT$2,"")</f>
        <v/>
      </c>
      <c r="AU63" s="25">
        <f>IF(AND(ISNUMBER($D63),N(AU$2)&gt;=N($G$2),N(AU$2)&lt;=N($D63)),AU$2,"")</f>
        <v/>
      </c>
      <c r="AV63" s="25">
        <f>IF(AND(ISNUMBER($D63),N(AV$2)&gt;=N($G$2),N(AV$2)&lt;=N($D63)),AV$2,"")</f>
        <v/>
      </c>
      <c r="AW63" s="25">
        <f>IF(AND(ISNUMBER($D63),N(AW$2)&gt;=N($G$2),N(AW$2)&lt;=N($D63)),AW$2,"")</f>
        <v/>
      </c>
      <c r="AX63" s="25">
        <f>IF(AND(ISNUMBER($D63),N(AX$2)&gt;=N($G$2),N(AX$2)&lt;=N($D63)),AX$2,"")</f>
        <v/>
      </c>
      <c r="AY63" s="25">
        <f>IF(AND(ISNUMBER($D63),N(AY$2)&gt;=N($G$2),N(AY$2)&lt;=N($D63)),AY$2,"")</f>
        <v/>
      </c>
      <c r="AZ63" s="25">
        <f>IF(AND(ISNUMBER($D63),N(AZ$2)&gt;=N($G$2),N(AZ$2)&lt;=N($D63)),AZ$2,"")</f>
        <v/>
      </c>
      <c r="BA63" s="25">
        <f>IF(AND(ISNUMBER($D63),N(BA$2)&gt;=N($G$2),N(BA$2)&lt;=N($D63)),BA$2,"")</f>
        <v/>
      </c>
      <c r="BB63" s="25">
        <f>IF(AND(ISNUMBER($D63),N(BB$2)&gt;=N($G$2),N(BB$2)&lt;=N($D63)),BB$2,"")</f>
        <v/>
      </c>
      <c r="BC63" s="25">
        <f>IF(AND(ISNUMBER($D63),N(BC$2)&gt;=N($G$2),N(BC$2)&lt;=N($D63)),BC$2,"")</f>
        <v/>
      </c>
      <c r="BD63" s="25">
        <f>IF(AND(ISNUMBER($D63),N(BD$2)&gt;=N($G$2),N(BD$2)&lt;=N($D63)),BD$2,"")</f>
        <v/>
      </c>
      <c r="BE63" s="25">
        <f>IF(AND(ISNUMBER($D63),N(BE$2)&gt;=N($G$2),N(BE$2)&lt;=N($D63)),BE$2,"")</f>
        <v/>
      </c>
      <c r="BF63" s="25">
        <f>IF(AND(ISNUMBER($D63),N(BF$2)&gt;=N($G$2),N(BF$2)&lt;=N($D63)),BF$2,"")</f>
        <v/>
      </c>
      <c r="BG63" s="25">
        <f>IF(AND(ISNUMBER($D63),N(BG$2)&gt;=N($G$2),N(BG$2)&lt;=N($D63)),BG$2,"")</f>
        <v/>
      </c>
      <c r="BH63" s="25">
        <f>IF(AND(ISNUMBER($D63),N(BH$2)&gt;=N($G$2),N(BH$2)&lt;=N($D63)),BH$2,"")</f>
        <v/>
      </c>
      <c r="BI63" s="25">
        <f>IF(AND(ISNUMBER($D63),N(BI$2)&gt;=N($G$2),N(BI$2)&lt;=N($D63)),BI$2,"")</f>
        <v/>
      </c>
      <c r="BJ63" s="25">
        <f>IF(AND(ISNUMBER($D63),N(BJ$2)&gt;=N($G$2),N(BJ$2)&lt;=N($D63)),BJ$2,"")</f>
        <v/>
      </c>
      <c r="BK63" s="25">
        <f>IF(AND(ISNUMBER($D63),N(BK$2)&gt;=N($G$2),N(BK$2)&lt;=N($D63)),BK$2,"")</f>
        <v/>
      </c>
      <c r="BL63" s="25">
        <f>IF(AND(ISNUMBER($D63),N(BL$2)&gt;=N($G$2),N(BL$2)&lt;=N($D63)),BL$2,"")</f>
        <v/>
      </c>
      <c r="BM63" s="25">
        <f>IF(AND(ISNUMBER($D63),N(BM$2)&gt;=N($G$2),N(BM$2)&lt;=N($D63)),BM$2,"")</f>
        <v/>
      </c>
      <c r="BN63" s="25">
        <f>IF(AND(ISNUMBER($D63),N(BN$2)&gt;=N($G$2),N(BN$2)&lt;=N($D63)),BN$2,"")</f>
        <v/>
      </c>
      <c r="BO63" s="25">
        <f>IF(AND(ISNUMBER($D63),N(BO$2)&gt;=N($G$2),N(BO$2)&lt;=N($D63)),BO$2,"")</f>
        <v/>
      </c>
    </row>
    <row r="64" ht="20" customHeight="1">
      <c r="A64" s="26" t="inlineStr">
        <is>
          <t>实际</t>
        </is>
      </c>
      <c r="B64" s="26" t="inlineStr">
        <is>
          <t>第二期</t>
        </is>
      </c>
      <c r="C64" s="27" t="inlineStr">
        <is>
          <t>二期零件下单采购</t>
        </is>
      </c>
      <c r="D64" s="28">
        <f>'时间节点计划表'!E32</f>
        <v/>
      </c>
      <c r="E64" s="28">
        <f>IF(COUNT('时间节点计划表'!F32),'时间节点计划表'!F32,"")</f>
        <v/>
      </c>
      <c r="F64" s="29">
        <f>IF(OR(D64="",E64=""),"待填",E64-D64)</f>
        <v/>
      </c>
      <c r="G64" s="25">
        <f>IF(AND(ISNUMBER($E64),N(G$2)&gt;=N($G$2),N(G$2)&lt;=N($E64)),G$2,"")</f>
        <v/>
      </c>
      <c r="H64" s="25">
        <f>IF(AND(ISNUMBER($E64),N(H$2)&gt;=N($G$2),N(H$2)&lt;=N($E64)),H$2,"")</f>
        <v/>
      </c>
      <c r="I64" s="25">
        <f>IF(AND(ISNUMBER($E64),N(I$2)&gt;=N($G$2),N(I$2)&lt;=N($E64)),I$2,"")</f>
        <v/>
      </c>
      <c r="J64" s="25">
        <f>IF(AND(ISNUMBER($E64),N(J$2)&gt;=N($G$2),N(J$2)&lt;=N($E64)),J$2,"")</f>
        <v/>
      </c>
      <c r="K64" s="25">
        <f>IF(AND(ISNUMBER($E64),N(K$2)&gt;=N($G$2),N(K$2)&lt;=N($E64)),K$2,"")</f>
        <v/>
      </c>
      <c r="L64" s="25">
        <f>IF(AND(ISNUMBER($E64),N(L$2)&gt;=N($G$2),N(L$2)&lt;=N($E64)),L$2,"")</f>
        <v/>
      </c>
      <c r="M64" s="25">
        <f>IF(AND(ISNUMBER($E64),N(M$2)&gt;=N($G$2),N(M$2)&lt;=N($E64)),M$2,"")</f>
        <v/>
      </c>
      <c r="N64" s="25">
        <f>IF(AND(ISNUMBER($E64),N(N$2)&gt;=N($G$2),N(N$2)&lt;=N($E64)),N$2,"")</f>
        <v/>
      </c>
      <c r="O64" s="25">
        <f>IF(AND(ISNUMBER($E64),N(O$2)&gt;=N($G$2),N(O$2)&lt;=N($E64)),O$2,"")</f>
        <v/>
      </c>
      <c r="P64" s="25">
        <f>IF(AND(ISNUMBER($E64),N(P$2)&gt;=N($G$2),N(P$2)&lt;=N($E64)),P$2,"")</f>
        <v/>
      </c>
      <c r="Q64" s="25">
        <f>IF(AND(ISNUMBER($E64),N(Q$2)&gt;=N($G$2),N(Q$2)&lt;=N($E64)),Q$2,"")</f>
        <v/>
      </c>
      <c r="R64" s="25">
        <f>IF(AND(ISNUMBER($E64),N(R$2)&gt;=N($G$2),N(R$2)&lt;=N($E64)),R$2,"")</f>
        <v/>
      </c>
      <c r="S64" s="25">
        <f>IF(AND(ISNUMBER($E64),N(S$2)&gt;=N($G$2),N(S$2)&lt;=N($E64)),S$2,"")</f>
        <v/>
      </c>
      <c r="T64" s="25">
        <f>IF(AND(ISNUMBER($E64),N(T$2)&gt;=N($G$2),N(T$2)&lt;=N($E64)),T$2,"")</f>
        <v/>
      </c>
      <c r="U64" s="25">
        <f>IF(AND(ISNUMBER($E64),N(U$2)&gt;=N($G$2),N(U$2)&lt;=N($E64)),U$2,"")</f>
        <v/>
      </c>
      <c r="V64" s="25">
        <f>IF(AND(ISNUMBER($E64),N(V$2)&gt;=N($G$2),N(V$2)&lt;=N($E64)),V$2,"")</f>
        <v/>
      </c>
      <c r="W64" s="25">
        <f>IF(AND(ISNUMBER($E64),N(W$2)&gt;=N($G$2),N(W$2)&lt;=N($E64)),W$2,"")</f>
        <v/>
      </c>
      <c r="X64" s="25">
        <f>IF(AND(ISNUMBER($E64),N(X$2)&gt;=N($G$2),N(X$2)&lt;=N($E64)),X$2,"")</f>
        <v/>
      </c>
      <c r="Y64" s="25">
        <f>IF(AND(ISNUMBER($E64),N(Y$2)&gt;=N($G$2),N(Y$2)&lt;=N($E64)),Y$2,"")</f>
        <v/>
      </c>
      <c r="Z64" s="25">
        <f>IF(AND(ISNUMBER($E64),N(Z$2)&gt;=N($G$2),N(Z$2)&lt;=N($E64)),Z$2,"")</f>
        <v/>
      </c>
      <c r="AA64" s="25">
        <f>IF(AND(ISNUMBER($E64),N(AA$2)&gt;=N($G$2),N(AA$2)&lt;=N($E64)),AA$2,"")</f>
        <v/>
      </c>
      <c r="AB64" s="25">
        <f>IF(AND(ISNUMBER($E64),N(AB$2)&gt;=N($G$2),N(AB$2)&lt;=N($E64)),AB$2,"")</f>
        <v/>
      </c>
      <c r="AC64" s="25">
        <f>IF(AND(ISNUMBER($E64),N(AC$2)&gt;=N($G$2),N(AC$2)&lt;=N($E64)),AC$2,"")</f>
        <v/>
      </c>
      <c r="AD64" s="25">
        <f>IF(AND(ISNUMBER($E64),N(AD$2)&gt;=N($G$2),N(AD$2)&lt;=N($E64)),AD$2,"")</f>
        <v/>
      </c>
      <c r="AE64" s="25">
        <f>IF(AND(ISNUMBER($E64),N(AE$2)&gt;=N($G$2),N(AE$2)&lt;=N($E64)),AE$2,"")</f>
        <v/>
      </c>
      <c r="AF64" s="25">
        <f>IF(AND(ISNUMBER($E64),N(AF$2)&gt;=N($G$2),N(AF$2)&lt;=N($E64)),AF$2,"")</f>
        <v/>
      </c>
      <c r="AG64" s="25">
        <f>IF(AND(ISNUMBER($E64),N(AG$2)&gt;=N($G$2),N(AG$2)&lt;=N($E64)),AG$2,"")</f>
        <v/>
      </c>
      <c r="AH64" s="25">
        <f>IF(AND(ISNUMBER($E64),N(AH$2)&gt;=N($G$2),N(AH$2)&lt;=N($E64)),AH$2,"")</f>
        <v/>
      </c>
      <c r="AI64" s="25">
        <f>IF(AND(ISNUMBER($E64),N(AI$2)&gt;=N($G$2),N(AI$2)&lt;=N($E64)),AI$2,"")</f>
        <v/>
      </c>
      <c r="AJ64" s="25">
        <f>IF(AND(ISNUMBER($E64),N(AJ$2)&gt;=N($G$2),N(AJ$2)&lt;=N($E64)),AJ$2,"")</f>
        <v/>
      </c>
      <c r="AK64" s="25">
        <f>IF(AND(ISNUMBER($E64),N(AK$2)&gt;=N($G$2),N(AK$2)&lt;=N($E64)),AK$2,"")</f>
        <v/>
      </c>
      <c r="AL64" s="25">
        <f>IF(AND(ISNUMBER($E64),N(AL$2)&gt;=N($G$2),N(AL$2)&lt;=N($E64)),AL$2,"")</f>
        <v/>
      </c>
      <c r="AM64" s="25">
        <f>IF(AND(ISNUMBER($E64),N(AM$2)&gt;=N($G$2),N(AM$2)&lt;=N($E64)),AM$2,"")</f>
        <v/>
      </c>
      <c r="AN64" s="25">
        <f>IF(AND(ISNUMBER($E64),N(AN$2)&gt;=N($G$2),N(AN$2)&lt;=N($E64)),AN$2,"")</f>
        <v/>
      </c>
      <c r="AO64" s="25">
        <f>IF(AND(ISNUMBER($E64),N(AO$2)&gt;=N($G$2),N(AO$2)&lt;=N($E64)),AO$2,"")</f>
        <v/>
      </c>
      <c r="AP64" s="25">
        <f>IF(AND(ISNUMBER($E64),N(AP$2)&gt;=N($G$2),N(AP$2)&lt;=N($E64)),AP$2,"")</f>
        <v/>
      </c>
      <c r="AQ64" s="25">
        <f>IF(AND(ISNUMBER($E64),N(AQ$2)&gt;=N($G$2),N(AQ$2)&lt;=N($E64)),AQ$2,"")</f>
        <v/>
      </c>
      <c r="AR64" s="25">
        <f>IF(AND(ISNUMBER($E64),N(AR$2)&gt;=N($G$2),N(AR$2)&lt;=N($E64)),AR$2,"")</f>
        <v/>
      </c>
      <c r="AS64" s="25">
        <f>IF(AND(ISNUMBER($E64),N(AS$2)&gt;=N($G$2),N(AS$2)&lt;=N($E64)),AS$2,"")</f>
        <v/>
      </c>
      <c r="AT64" s="25">
        <f>IF(AND(ISNUMBER($E64),N(AT$2)&gt;=N($G$2),N(AT$2)&lt;=N($E64)),AT$2,"")</f>
        <v/>
      </c>
      <c r="AU64" s="25">
        <f>IF(AND(ISNUMBER($E64),N(AU$2)&gt;=N($G$2),N(AU$2)&lt;=N($E64)),AU$2,"")</f>
        <v/>
      </c>
      <c r="AV64" s="25">
        <f>IF(AND(ISNUMBER($E64),N(AV$2)&gt;=N($G$2),N(AV$2)&lt;=N($E64)),AV$2,"")</f>
        <v/>
      </c>
      <c r="AW64" s="25">
        <f>IF(AND(ISNUMBER($E64),N(AW$2)&gt;=N($G$2),N(AW$2)&lt;=N($E64)),AW$2,"")</f>
        <v/>
      </c>
      <c r="AX64" s="25">
        <f>IF(AND(ISNUMBER($E64),N(AX$2)&gt;=N($G$2),N(AX$2)&lt;=N($E64)),AX$2,"")</f>
        <v/>
      </c>
      <c r="AY64" s="25">
        <f>IF(AND(ISNUMBER($E64),N(AY$2)&gt;=N($G$2),N(AY$2)&lt;=N($E64)),AY$2,"")</f>
        <v/>
      </c>
      <c r="AZ64" s="25">
        <f>IF(AND(ISNUMBER($E64),N(AZ$2)&gt;=N($G$2),N(AZ$2)&lt;=N($E64)),AZ$2,"")</f>
        <v/>
      </c>
      <c r="BA64" s="25">
        <f>IF(AND(ISNUMBER($E64),N(BA$2)&gt;=N($G$2),N(BA$2)&lt;=N($E64)),BA$2,"")</f>
        <v/>
      </c>
      <c r="BB64" s="25">
        <f>IF(AND(ISNUMBER($E64),N(BB$2)&gt;=N($G$2),N(BB$2)&lt;=N($E64)),BB$2,"")</f>
        <v/>
      </c>
      <c r="BC64" s="25">
        <f>IF(AND(ISNUMBER($E64),N(BC$2)&gt;=N($G$2),N(BC$2)&lt;=N($E64)),BC$2,"")</f>
        <v/>
      </c>
      <c r="BD64" s="25">
        <f>IF(AND(ISNUMBER($E64),N(BD$2)&gt;=N($G$2),N(BD$2)&lt;=N($E64)),BD$2,"")</f>
        <v/>
      </c>
      <c r="BE64" s="25">
        <f>IF(AND(ISNUMBER($E64),N(BE$2)&gt;=N($G$2),N(BE$2)&lt;=N($E64)),BE$2,"")</f>
        <v/>
      </c>
      <c r="BF64" s="25">
        <f>IF(AND(ISNUMBER($E64),N(BF$2)&gt;=N($G$2),N(BF$2)&lt;=N($E64)),BF$2,"")</f>
        <v/>
      </c>
      <c r="BG64" s="25">
        <f>IF(AND(ISNUMBER($E64),N(BG$2)&gt;=N($G$2),N(BG$2)&lt;=N($E64)),BG$2,"")</f>
        <v/>
      </c>
      <c r="BH64" s="25">
        <f>IF(AND(ISNUMBER($E64),N(BH$2)&gt;=N($G$2),N(BH$2)&lt;=N($E64)),BH$2,"")</f>
        <v/>
      </c>
      <c r="BI64" s="25">
        <f>IF(AND(ISNUMBER($E64),N(BI$2)&gt;=N($G$2),N(BI$2)&lt;=N($E64)),BI$2,"")</f>
        <v/>
      </c>
      <c r="BJ64" s="25">
        <f>IF(AND(ISNUMBER($E64),N(BJ$2)&gt;=N($G$2),N(BJ$2)&lt;=N($E64)),BJ$2,"")</f>
        <v/>
      </c>
      <c r="BK64" s="25">
        <f>IF(AND(ISNUMBER($E64),N(BK$2)&gt;=N($G$2),N(BK$2)&lt;=N($E64)),BK$2,"")</f>
        <v/>
      </c>
      <c r="BL64" s="25">
        <f>IF(AND(ISNUMBER($E64),N(BL$2)&gt;=N($G$2),N(BL$2)&lt;=N($E64)),BL$2,"")</f>
        <v/>
      </c>
      <c r="BM64" s="25">
        <f>IF(AND(ISNUMBER($E64),N(BM$2)&gt;=N($G$2),N(BM$2)&lt;=N($E64)),BM$2,"")</f>
        <v/>
      </c>
      <c r="BN64" s="25">
        <f>IF(AND(ISNUMBER($E64),N(BN$2)&gt;=N($G$2),N(BN$2)&lt;=N($E64)),BN$2,"")</f>
        <v/>
      </c>
      <c r="BO64" s="25">
        <f>IF(AND(ISNUMBER($E64),N(BO$2)&gt;=N($G$2),N(BO$2)&lt;=N($E64)),BO$2,"")</f>
        <v/>
      </c>
    </row>
    <row r="65" ht="20" customHeight="1">
      <c r="A65" s="21" t="inlineStr">
        <is>
          <t>预估</t>
        </is>
      </c>
      <c r="B65" s="21" t="inlineStr">
        <is>
          <t>第二期</t>
        </is>
      </c>
      <c r="C65" s="22" t="inlineStr">
        <is>
          <t>二期标准件下单采购</t>
        </is>
      </c>
      <c r="D65" s="23">
        <f>'时间节点计划表'!E33</f>
        <v/>
      </c>
      <c r="E65" s="23">
        <f>IF(COUNT('时间节点计划表'!F33),'时间节点计划表'!F33,"")</f>
        <v/>
      </c>
      <c r="F65" s="24" t="inlineStr"/>
      <c r="G65" s="25">
        <f>IF(AND(ISNUMBER($D65),N(G$2)&gt;=N($G$2),N(G$2)&lt;=N($D65)),G$2,"")</f>
        <v/>
      </c>
      <c r="H65" s="25">
        <f>IF(AND(ISNUMBER($D65),N(H$2)&gt;=N($G$2),N(H$2)&lt;=N($D65)),H$2,"")</f>
        <v/>
      </c>
      <c r="I65" s="25">
        <f>IF(AND(ISNUMBER($D65),N(I$2)&gt;=N($G$2),N(I$2)&lt;=N($D65)),I$2,"")</f>
        <v/>
      </c>
      <c r="J65" s="25">
        <f>IF(AND(ISNUMBER($D65),N(J$2)&gt;=N($G$2),N(J$2)&lt;=N($D65)),J$2,"")</f>
        <v/>
      </c>
      <c r="K65" s="25">
        <f>IF(AND(ISNUMBER($D65),N(K$2)&gt;=N($G$2),N(K$2)&lt;=N($D65)),K$2,"")</f>
        <v/>
      </c>
      <c r="L65" s="25">
        <f>IF(AND(ISNUMBER($D65),N(L$2)&gt;=N($G$2),N(L$2)&lt;=N($D65)),L$2,"")</f>
        <v/>
      </c>
      <c r="M65" s="25">
        <f>IF(AND(ISNUMBER($D65),N(M$2)&gt;=N($G$2),N(M$2)&lt;=N($D65)),M$2,"")</f>
        <v/>
      </c>
      <c r="N65" s="25">
        <f>IF(AND(ISNUMBER($D65),N(N$2)&gt;=N($G$2),N(N$2)&lt;=N($D65)),N$2,"")</f>
        <v/>
      </c>
      <c r="O65" s="25">
        <f>IF(AND(ISNUMBER($D65),N(O$2)&gt;=N($G$2),N(O$2)&lt;=N($D65)),O$2,"")</f>
        <v/>
      </c>
      <c r="P65" s="25">
        <f>IF(AND(ISNUMBER($D65),N(P$2)&gt;=N($G$2),N(P$2)&lt;=N($D65)),P$2,"")</f>
        <v/>
      </c>
      <c r="Q65" s="25">
        <f>IF(AND(ISNUMBER($D65),N(Q$2)&gt;=N($G$2),N(Q$2)&lt;=N($D65)),Q$2,"")</f>
        <v/>
      </c>
      <c r="R65" s="25">
        <f>IF(AND(ISNUMBER($D65),N(R$2)&gt;=N($G$2),N(R$2)&lt;=N($D65)),R$2,"")</f>
        <v/>
      </c>
      <c r="S65" s="25">
        <f>IF(AND(ISNUMBER($D65),N(S$2)&gt;=N($G$2),N(S$2)&lt;=N($D65)),S$2,"")</f>
        <v/>
      </c>
      <c r="T65" s="25">
        <f>IF(AND(ISNUMBER($D65),N(T$2)&gt;=N($G$2),N(T$2)&lt;=N($D65)),T$2,"")</f>
        <v/>
      </c>
      <c r="U65" s="25">
        <f>IF(AND(ISNUMBER($D65),N(U$2)&gt;=N($G$2),N(U$2)&lt;=N($D65)),U$2,"")</f>
        <v/>
      </c>
      <c r="V65" s="25">
        <f>IF(AND(ISNUMBER($D65),N(V$2)&gt;=N($G$2),N(V$2)&lt;=N($D65)),V$2,"")</f>
        <v/>
      </c>
      <c r="W65" s="25">
        <f>IF(AND(ISNUMBER($D65),N(W$2)&gt;=N($G$2),N(W$2)&lt;=N($D65)),W$2,"")</f>
        <v/>
      </c>
      <c r="X65" s="25">
        <f>IF(AND(ISNUMBER($D65),N(X$2)&gt;=N($G$2),N(X$2)&lt;=N($D65)),X$2,"")</f>
        <v/>
      </c>
      <c r="Y65" s="25">
        <f>IF(AND(ISNUMBER($D65),N(Y$2)&gt;=N($G$2),N(Y$2)&lt;=N($D65)),Y$2,"")</f>
        <v/>
      </c>
      <c r="Z65" s="25">
        <f>IF(AND(ISNUMBER($D65),N(Z$2)&gt;=N($G$2),N(Z$2)&lt;=N($D65)),Z$2,"")</f>
        <v/>
      </c>
      <c r="AA65" s="25">
        <f>IF(AND(ISNUMBER($D65),N(AA$2)&gt;=N($G$2),N(AA$2)&lt;=N($D65)),AA$2,"")</f>
        <v/>
      </c>
      <c r="AB65" s="25">
        <f>IF(AND(ISNUMBER($D65),N(AB$2)&gt;=N($G$2),N(AB$2)&lt;=N($D65)),AB$2,"")</f>
        <v/>
      </c>
      <c r="AC65" s="25">
        <f>IF(AND(ISNUMBER($D65),N(AC$2)&gt;=N($G$2),N(AC$2)&lt;=N($D65)),AC$2,"")</f>
        <v/>
      </c>
      <c r="AD65" s="25">
        <f>IF(AND(ISNUMBER($D65),N(AD$2)&gt;=N($G$2),N(AD$2)&lt;=N($D65)),AD$2,"")</f>
        <v/>
      </c>
      <c r="AE65" s="25">
        <f>IF(AND(ISNUMBER($D65),N(AE$2)&gt;=N($G$2),N(AE$2)&lt;=N($D65)),AE$2,"")</f>
        <v/>
      </c>
      <c r="AF65" s="25">
        <f>IF(AND(ISNUMBER($D65),N(AF$2)&gt;=N($G$2),N(AF$2)&lt;=N($D65)),AF$2,"")</f>
        <v/>
      </c>
      <c r="AG65" s="25">
        <f>IF(AND(ISNUMBER($D65),N(AG$2)&gt;=N($G$2),N(AG$2)&lt;=N($D65)),AG$2,"")</f>
        <v/>
      </c>
      <c r="AH65" s="25">
        <f>IF(AND(ISNUMBER($D65),N(AH$2)&gt;=N($G$2),N(AH$2)&lt;=N($D65)),AH$2,"")</f>
        <v/>
      </c>
      <c r="AI65" s="25">
        <f>IF(AND(ISNUMBER($D65),N(AI$2)&gt;=N($G$2),N(AI$2)&lt;=N($D65)),AI$2,"")</f>
        <v/>
      </c>
      <c r="AJ65" s="25">
        <f>IF(AND(ISNUMBER($D65),N(AJ$2)&gt;=N($G$2),N(AJ$2)&lt;=N($D65)),AJ$2,"")</f>
        <v/>
      </c>
      <c r="AK65" s="25">
        <f>IF(AND(ISNUMBER($D65),N(AK$2)&gt;=N($G$2),N(AK$2)&lt;=N($D65)),AK$2,"")</f>
        <v/>
      </c>
      <c r="AL65" s="25">
        <f>IF(AND(ISNUMBER($D65),N(AL$2)&gt;=N($G$2),N(AL$2)&lt;=N($D65)),AL$2,"")</f>
        <v/>
      </c>
      <c r="AM65" s="25">
        <f>IF(AND(ISNUMBER($D65),N(AM$2)&gt;=N($G$2),N(AM$2)&lt;=N($D65)),AM$2,"")</f>
        <v/>
      </c>
      <c r="AN65" s="25">
        <f>IF(AND(ISNUMBER($D65),N(AN$2)&gt;=N($G$2),N(AN$2)&lt;=N($D65)),AN$2,"")</f>
        <v/>
      </c>
      <c r="AO65" s="25">
        <f>IF(AND(ISNUMBER($D65),N(AO$2)&gt;=N($G$2),N(AO$2)&lt;=N($D65)),AO$2,"")</f>
        <v/>
      </c>
      <c r="AP65" s="25">
        <f>IF(AND(ISNUMBER($D65),N(AP$2)&gt;=N($G$2),N(AP$2)&lt;=N($D65)),AP$2,"")</f>
        <v/>
      </c>
      <c r="AQ65" s="25">
        <f>IF(AND(ISNUMBER($D65),N(AQ$2)&gt;=N($G$2),N(AQ$2)&lt;=N($D65)),AQ$2,"")</f>
        <v/>
      </c>
      <c r="AR65" s="25">
        <f>IF(AND(ISNUMBER($D65),N(AR$2)&gt;=N($G$2),N(AR$2)&lt;=N($D65)),AR$2,"")</f>
        <v/>
      </c>
      <c r="AS65" s="25">
        <f>IF(AND(ISNUMBER($D65),N(AS$2)&gt;=N($G$2),N(AS$2)&lt;=N($D65)),AS$2,"")</f>
        <v/>
      </c>
      <c r="AT65" s="25">
        <f>IF(AND(ISNUMBER($D65),N(AT$2)&gt;=N($G$2),N(AT$2)&lt;=N($D65)),AT$2,"")</f>
        <v/>
      </c>
      <c r="AU65" s="25">
        <f>IF(AND(ISNUMBER($D65),N(AU$2)&gt;=N($G$2),N(AU$2)&lt;=N($D65)),AU$2,"")</f>
        <v/>
      </c>
      <c r="AV65" s="25">
        <f>IF(AND(ISNUMBER($D65),N(AV$2)&gt;=N($G$2),N(AV$2)&lt;=N($D65)),AV$2,"")</f>
        <v/>
      </c>
      <c r="AW65" s="25">
        <f>IF(AND(ISNUMBER($D65),N(AW$2)&gt;=N($G$2),N(AW$2)&lt;=N($D65)),AW$2,"")</f>
        <v/>
      </c>
      <c r="AX65" s="25">
        <f>IF(AND(ISNUMBER($D65),N(AX$2)&gt;=N($G$2),N(AX$2)&lt;=N($D65)),AX$2,"")</f>
        <v/>
      </c>
      <c r="AY65" s="25">
        <f>IF(AND(ISNUMBER($D65),N(AY$2)&gt;=N($G$2),N(AY$2)&lt;=N($D65)),AY$2,"")</f>
        <v/>
      </c>
      <c r="AZ65" s="25">
        <f>IF(AND(ISNUMBER($D65),N(AZ$2)&gt;=N($G$2),N(AZ$2)&lt;=N($D65)),AZ$2,"")</f>
        <v/>
      </c>
      <c r="BA65" s="25">
        <f>IF(AND(ISNUMBER($D65),N(BA$2)&gt;=N($G$2),N(BA$2)&lt;=N($D65)),BA$2,"")</f>
        <v/>
      </c>
      <c r="BB65" s="25">
        <f>IF(AND(ISNUMBER($D65),N(BB$2)&gt;=N($G$2),N(BB$2)&lt;=N($D65)),BB$2,"")</f>
        <v/>
      </c>
      <c r="BC65" s="25">
        <f>IF(AND(ISNUMBER($D65),N(BC$2)&gt;=N($G$2),N(BC$2)&lt;=N($D65)),BC$2,"")</f>
        <v/>
      </c>
      <c r="BD65" s="25">
        <f>IF(AND(ISNUMBER($D65),N(BD$2)&gt;=N($G$2),N(BD$2)&lt;=N($D65)),BD$2,"")</f>
        <v/>
      </c>
      <c r="BE65" s="25">
        <f>IF(AND(ISNUMBER($D65),N(BE$2)&gt;=N($G$2),N(BE$2)&lt;=N($D65)),BE$2,"")</f>
        <v/>
      </c>
      <c r="BF65" s="25">
        <f>IF(AND(ISNUMBER($D65),N(BF$2)&gt;=N($G$2),N(BF$2)&lt;=N($D65)),BF$2,"")</f>
        <v/>
      </c>
      <c r="BG65" s="25">
        <f>IF(AND(ISNUMBER($D65),N(BG$2)&gt;=N($G$2),N(BG$2)&lt;=N($D65)),BG$2,"")</f>
        <v/>
      </c>
      <c r="BH65" s="25">
        <f>IF(AND(ISNUMBER($D65),N(BH$2)&gt;=N($G$2),N(BH$2)&lt;=N($D65)),BH$2,"")</f>
        <v/>
      </c>
      <c r="BI65" s="25">
        <f>IF(AND(ISNUMBER($D65),N(BI$2)&gt;=N($G$2),N(BI$2)&lt;=N($D65)),BI$2,"")</f>
        <v/>
      </c>
      <c r="BJ65" s="25">
        <f>IF(AND(ISNUMBER($D65),N(BJ$2)&gt;=N($G$2),N(BJ$2)&lt;=N($D65)),BJ$2,"")</f>
        <v/>
      </c>
      <c r="BK65" s="25">
        <f>IF(AND(ISNUMBER($D65),N(BK$2)&gt;=N($G$2),N(BK$2)&lt;=N($D65)),BK$2,"")</f>
        <v/>
      </c>
      <c r="BL65" s="25">
        <f>IF(AND(ISNUMBER($D65),N(BL$2)&gt;=N($G$2),N(BL$2)&lt;=N($D65)),BL$2,"")</f>
        <v/>
      </c>
      <c r="BM65" s="25">
        <f>IF(AND(ISNUMBER($D65),N(BM$2)&gt;=N($G$2),N(BM$2)&lt;=N($D65)),BM$2,"")</f>
        <v/>
      </c>
      <c r="BN65" s="25">
        <f>IF(AND(ISNUMBER($D65),N(BN$2)&gt;=N($G$2),N(BN$2)&lt;=N($D65)),BN$2,"")</f>
        <v/>
      </c>
      <c r="BO65" s="25">
        <f>IF(AND(ISNUMBER($D65),N(BO$2)&gt;=N($G$2),N(BO$2)&lt;=N($D65)),BO$2,"")</f>
        <v/>
      </c>
    </row>
    <row r="66" ht="20" customHeight="1">
      <c r="A66" s="26" t="inlineStr">
        <is>
          <t>实际</t>
        </is>
      </c>
      <c r="B66" s="26" t="inlineStr">
        <is>
          <t>第二期</t>
        </is>
      </c>
      <c r="C66" s="27" t="inlineStr">
        <is>
          <t>二期标准件下单采购</t>
        </is>
      </c>
      <c r="D66" s="28">
        <f>'时间节点计划表'!E33</f>
        <v/>
      </c>
      <c r="E66" s="28">
        <f>IF(COUNT('时间节点计划表'!F33),'时间节点计划表'!F33,"")</f>
        <v/>
      </c>
      <c r="F66" s="29">
        <f>IF(OR(D66="",E66=""),"待填",E66-D66)</f>
        <v/>
      </c>
      <c r="G66" s="25">
        <f>IF(AND(ISNUMBER($E66),N(G$2)&gt;=N($G$2),N(G$2)&lt;=N($E66)),G$2,"")</f>
        <v/>
      </c>
      <c r="H66" s="25">
        <f>IF(AND(ISNUMBER($E66),N(H$2)&gt;=N($G$2),N(H$2)&lt;=N($E66)),H$2,"")</f>
        <v/>
      </c>
      <c r="I66" s="25">
        <f>IF(AND(ISNUMBER($E66),N(I$2)&gt;=N($G$2),N(I$2)&lt;=N($E66)),I$2,"")</f>
        <v/>
      </c>
      <c r="J66" s="25">
        <f>IF(AND(ISNUMBER($E66),N(J$2)&gt;=N($G$2),N(J$2)&lt;=N($E66)),J$2,"")</f>
        <v/>
      </c>
      <c r="K66" s="25">
        <f>IF(AND(ISNUMBER($E66),N(K$2)&gt;=N($G$2),N(K$2)&lt;=N($E66)),K$2,"")</f>
        <v/>
      </c>
      <c r="L66" s="25">
        <f>IF(AND(ISNUMBER($E66),N(L$2)&gt;=N($G$2),N(L$2)&lt;=N($E66)),L$2,"")</f>
        <v/>
      </c>
      <c r="M66" s="25">
        <f>IF(AND(ISNUMBER($E66),N(M$2)&gt;=N($G$2),N(M$2)&lt;=N($E66)),M$2,"")</f>
        <v/>
      </c>
      <c r="N66" s="25">
        <f>IF(AND(ISNUMBER($E66),N(N$2)&gt;=N($G$2),N(N$2)&lt;=N($E66)),N$2,"")</f>
        <v/>
      </c>
      <c r="O66" s="25">
        <f>IF(AND(ISNUMBER($E66),N(O$2)&gt;=N($G$2),N(O$2)&lt;=N($E66)),O$2,"")</f>
        <v/>
      </c>
      <c r="P66" s="25">
        <f>IF(AND(ISNUMBER($E66),N(P$2)&gt;=N($G$2),N(P$2)&lt;=N($E66)),P$2,"")</f>
        <v/>
      </c>
      <c r="Q66" s="25">
        <f>IF(AND(ISNUMBER($E66),N(Q$2)&gt;=N($G$2),N(Q$2)&lt;=N($E66)),Q$2,"")</f>
        <v/>
      </c>
      <c r="R66" s="25">
        <f>IF(AND(ISNUMBER($E66),N(R$2)&gt;=N($G$2),N(R$2)&lt;=N($E66)),R$2,"")</f>
        <v/>
      </c>
      <c r="S66" s="25">
        <f>IF(AND(ISNUMBER($E66),N(S$2)&gt;=N($G$2),N(S$2)&lt;=N($E66)),S$2,"")</f>
        <v/>
      </c>
      <c r="T66" s="25">
        <f>IF(AND(ISNUMBER($E66),N(T$2)&gt;=N($G$2),N(T$2)&lt;=N($E66)),T$2,"")</f>
        <v/>
      </c>
      <c r="U66" s="25">
        <f>IF(AND(ISNUMBER($E66),N(U$2)&gt;=N($G$2),N(U$2)&lt;=N($E66)),U$2,"")</f>
        <v/>
      </c>
      <c r="V66" s="25">
        <f>IF(AND(ISNUMBER($E66),N(V$2)&gt;=N($G$2),N(V$2)&lt;=N($E66)),V$2,"")</f>
        <v/>
      </c>
      <c r="W66" s="25">
        <f>IF(AND(ISNUMBER($E66),N(W$2)&gt;=N($G$2),N(W$2)&lt;=N($E66)),W$2,"")</f>
        <v/>
      </c>
      <c r="X66" s="25">
        <f>IF(AND(ISNUMBER($E66),N(X$2)&gt;=N($G$2),N(X$2)&lt;=N($E66)),X$2,"")</f>
        <v/>
      </c>
      <c r="Y66" s="25">
        <f>IF(AND(ISNUMBER($E66),N(Y$2)&gt;=N($G$2),N(Y$2)&lt;=N($E66)),Y$2,"")</f>
        <v/>
      </c>
      <c r="Z66" s="25">
        <f>IF(AND(ISNUMBER($E66),N(Z$2)&gt;=N($G$2),N(Z$2)&lt;=N($E66)),Z$2,"")</f>
        <v/>
      </c>
      <c r="AA66" s="25">
        <f>IF(AND(ISNUMBER($E66),N(AA$2)&gt;=N($G$2),N(AA$2)&lt;=N($E66)),AA$2,"")</f>
        <v/>
      </c>
      <c r="AB66" s="25">
        <f>IF(AND(ISNUMBER($E66),N(AB$2)&gt;=N($G$2),N(AB$2)&lt;=N($E66)),AB$2,"")</f>
        <v/>
      </c>
      <c r="AC66" s="25">
        <f>IF(AND(ISNUMBER($E66),N(AC$2)&gt;=N($G$2),N(AC$2)&lt;=N($E66)),AC$2,"")</f>
        <v/>
      </c>
      <c r="AD66" s="25">
        <f>IF(AND(ISNUMBER($E66),N(AD$2)&gt;=N($G$2),N(AD$2)&lt;=N($E66)),AD$2,"")</f>
        <v/>
      </c>
      <c r="AE66" s="25">
        <f>IF(AND(ISNUMBER($E66),N(AE$2)&gt;=N($G$2),N(AE$2)&lt;=N($E66)),AE$2,"")</f>
        <v/>
      </c>
      <c r="AF66" s="25">
        <f>IF(AND(ISNUMBER($E66),N(AF$2)&gt;=N($G$2),N(AF$2)&lt;=N($E66)),AF$2,"")</f>
        <v/>
      </c>
      <c r="AG66" s="25">
        <f>IF(AND(ISNUMBER($E66),N(AG$2)&gt;=N($G$2),N(AG$2)&lt;=N($E66)),AG$2,"")</f>
        <v/>
      </c>
      <c r="AH66" s="25">
        <f>IF(AND(ISNUMBER($E66),N(AH$2)&gt;=N($G$2),N(AH$2)&lt;=N($E66)),AH$2,"")</f>
        <v/>
      </c>
      <c r="AI66" s="25">
        <f>IF(AND(ISNUMBER($E66),N(AI$2)&gt;=N($G$2),N(AI$2)&lt;=N($E66)),AI$2,"")</f>
        <v/>
      </c>
      <c r="AJ66" s="25">
        <f>IF(AND(ISNUMBER($E66),N(AJ$2)&gt;=N($G$2),N(AJ$2)&lt;=N($E66)),AJ$2,"")</f>
        <v/>
      </c>
      <c r="AK66" s="25">
        <f>IF(AND(ISNUMBER($E66),N(AK$2)&gt;=N($G$2),N(AK$2)&lt;=N($E66)),AK$2,"")</f>
        <v/>
      </c>
      <c r="AL66" s="25">
        <f>IF(AND(ISNUMBER($E66),N(AL$2)&gt;=N($G$2),N(AL$2)&lt;=N($E66)),AL$2,"")</f>
        <v/>
      </c>
      <c r="AM66" s="25">
        <f>IF(AND(ISNUMBER($E66),N(AM$2)&gt;=N($G$2),N(AM$2)&lt;=N($E66)),AM$2,"")</f>
        <v/>
      </c>
      <c r="AN66" s="25">
        <f>IF(AND(ISNUMBER($E66),N(AN$2)&gt;=N($G$2),N(AN$2)&lt;=N($E66)),AN$2,"")</f>
        <v/>
      </c>
      <c r="AO66" s="25">
        <f>IF(AND(ISNUMBER($E66),N(AO$2)&gt;=N($G$2),N(AO$2)&lt;=N($E66)),AO$2,"")</f>
        <v/>
      </c>
      <c r="AP66" s="25">
        <f>IF(AND(ISNUMBER($E66),N(AP$2)&gt;=N($G$2),N(AP$2)&lt;=N($E66)),AP$2,"")</f>
        <v/>
      </c>
      <c r="AQ66" s="25">
        <f>IF(AND(ISNUMBER($E66),N(AQ$2)&gt;=N($G$2),N(AQ$2)&lt;=N($E66)),AQ$2,"")</f>
        <v/>
      </c>
      <c r="AR66" s="25">
        <f>IF(AND(ISNUMBER($E66),N(AR$2)&gt;=N($G$2),N(AR$2)&lt;=N($E66)),AR$2,"")</f>
        <v/>
      </c>
      <c r="AS66" s="25">
        <f>IF(AND(ISNUMBER($E66),N(AS$2)&gt;=N($G$2),N(AS$2)&lt;=N($E66)),AS$2,"")</f>
        <v/>
      </c>
      <c r="AT66" s="25">
        <f>IF(AND(ISNUMBER($E66),N(AT$2)&gt;=N($G$2),N(AT$2)&lt;=N($E66)),AT$2,"")</f>
        <v/>
      </c>
      <c r="AU66" s="25">
        <f>IF(AND(ISNUMBER($E66),N(AU$2)&gt;=N($G$2),N(AU$2)&lt;=N($E66)),AU$2,"")</f>
        <v/>
      </c>
      <c r="AV66" s="25">
        <f>IF(AND(ISNUMBER($E66),N(AV$2)&gt;=N($G$2),N(AV$2)&lt;=N($E66)),AV$2,"")</f>
        <v/>
      </c>
      <c r="AW66" s="25">
        <f>IF(AND(ISNUMBER($E66),N(AW$2)&gt;=N($G$2),N(AW$2)&lt;=N($E66)),AW$2,"")</f>
        <v/>
      </c>
      <c r="AX66" s="25">
        <f>IF(AND(ISNUMBER($E66),N(AX$2)&gt;=N($G$2),N(AX$2)&lt;=N($E66)),AX$2,"")</f>
        <v/>
      </c>
      <c r="AY66" s="25">
        <f>IF(AND(ISNUMBER($E66),N(AY$2)&gt;=N($G$2),N(AY$2)&lt;=N($E66)),AY$2,"")</f>
        <v/>
      </c>
      <c r="AZ66" s="25">
        <f>IF(AND(ISNUMBER($E66),N(AZ$2)&gt;=N($G$2),N(AZ$2)&lt;=N($E66)),AZ$2,"")</f>
        <v/>
      </c>
      <c r="BA66" s="25">
        <f>IF(AND(ISNUMBER($E66),N(BA$2)&gt;=N($G$2),N(BA$2)&lt;=N($E66)),BA$2,"")</f>
        <v/>
      </c>
      <c r="BB66" s="25">
        <f>IF(AND(ISNUMBER($E66),N(BB$2)&gt;=N($G$2),N(BB$2)&lt;=N($E66)),BB$2,"")</f>
        <v/>
      </c>
      <c r="BC66" s="25">
        <f>IF(AND(ISNUMBER($E66),N(BC$2)&gt;=N($G$2),N(BC$2)&lt;=N($E66)),BC$2,"")</f>
        <v/>
      </c>
      <c r="BD66" s="25">
        <f>IF(AND(ISNUMBER($E66),N(BD$2)&gt;=N($G$2),N(BD$2)&lt;=N($E66)),BD$2,"")</f>
        <v/>
      </c>
      <c r="BE66" s="25">
        <f>IF(AND(ISNUMBER($E66),N(BE$2)&gt;=N($G$2),N(BE$2)&lt;=N($E66)),BE$2,"")</f>
        <v/>
      </c>
      <c r="BF66" s="25">
        <f>IF(AND(ISNUMBER($E66),N(BF$2)&gt;=N($G$2),N(BF$2)&lt;=N($E66)),BF$2,"")</f>
        <v/>
      </c>
      <c r="BG66" s="25">
        <f>IF(AND(ISNUMBER($E66),N(BG$2)&gt;=N($G$2),N(BG$2)&lt;=N($E66)),BG$2,"")</f>
        <v/>
      </c>
      <c r="BH66" s="25">
        <f>IF(AND(ISNUMBER($E66),N(BH$2)&gt;=N($G$2),N(BH$2)&lt;=N($E66)),BH$2,"")</f>
        <v/>
      </c>
      <c r="BI66" s="25">
        <f>IF(AND(ISNUMBER($E66),N(BI$2)&gt;=N($G$2),N(BI$2)&lt;=N($E66)),BI$2,"")</f>
        <v/>
      </c>
      <c r="BJ66" s="25">
        <f>IF(AND(ISNUMBER($E66),N(BJ$2)&gt;=N($G$2),N(BJ$2)&lt;=N($E66)),BJ$2,"")</f>
        <v/>
      </c>
      <c r="BK66" s="25">
        <f>IF(AND(ISNUMBER($E66),N(BK$2)&gt;=N($G$2),N(BK$2)&lt;=N($E66)),BK$2,"")</f>
        <v/>
      </c>
      <c r="BL66" s="25">
        <f>IF(AND(ISNUMBER($E66),N(BL$2)&gt;=N($G$2),N(BL$2)&lt;=N($E66)),BL$2,"")</f>
        <v/>
      </c>
      <c r="BM66" s="25">
        <f>IF(AND(ISNUMBER($E66),N(BM$2)&gt;=N($G$2),N(BM$2)&lt;=N($E66)),BM$2,"")</f>
        <v/>
      </c>
      <c r="BN66" s="25">
        <f>IF(AND(ISNUMBER($E66),N(BN$2)&gt;=N($G$2),N(BN$2)&lt;=N($E66)),BN$2,"")</f>
        <v/>
      </c>
      <c r="BO66" s="25">
        <f>IF(AND(ISNUMBER($E66),N(BO$2)&gt;=N($G$2),N(BO$2)&lt;=N($E66)),BO$2,"")</f>
        <v/>
      </c>
    </row>
    <row r="67" ht="20" customHeight="1">
      <c r="A67" s="21" t="inlineStr">
        <is>
          <t>预估</t>
        </is>
      </c>
      <c r="B67" s="21" t="inlineStr">
        <is>
          <t>第二期</t>
        </is>
      </c>
      <c r="C67" s="22" t="inlineStr">
        <is>
          <t>PAB180·零件到位</t>
        </is>
      </c>
      <c r="D67" s="23">
        <f>'时间节点计划表'!E34</f>
        <v/>
      </c>
      <c r="E67" s="23">
        <f>IF(COUNT('时间节点计划表'!F34),'时间节点计划表'!F34,"")</f>
        <v/>
      </c>
      <c r="F67" s="24" t="inlineStr"/>
      <c r="G67" s="25">
        <f>IF(AND(ISNUMBER($D67),N(G$2)&gt;=N($G$2),N(G$2)&lt;=N($D67)),G$2,"")</f>
        <v/>
      </c>
      <c r="H67" s="25">
        <f>IF(AND(ISNUMBER($D67),N(H$2)&gt;=N($G$2),N(H$2)&lt;=N($D67)),H$2,"")</f>
        <v/>
      </c>
      <c r="I67" s="25">
        <f>IF(AND(ISNUMBER($D67),N(I$2)&gt;=N($G$2),N(I$2)&lt;=N($D67)),I$2,"")</f>
        <v/>
      </c>
      <c r="J67" s="25">
        <f>IF(AND(ISNUMBER($D67),N(J$2)&gt;=N($G$2),N(J$2)&lt;=N($D67)),J$2,"")</f>
        <v/>
      </c>
      <c r="K67" s="25">
        <f>IF(AND(ISNUMBER($D67),N(K$2)&gt;=N($G$2),N(K$2)&lt;=N($D67)),K$2,"")</f>
        <v/>
      </c>
      <c r="L67" s="25">
        <f>IF(AND(ISNUMBER($D67),N(L$2)&gt;=N($G$2),N(L$2)&lt;=N($D67)),L$2,"")</f>
        <v/>
      </c>
      <c r="M67" s="25">
        <f>IF(AND(ISNUMBER($D67),N(M$2)&gt;=N($G$2),N(M$2)&lt;=N($D67)),M$2,"")</f>
        <v/>
      </c>
      <c r="N67" s="25">
        <f>IF(AND(ISNUMBER($D67),N(N$2)&gt;=N($G$2),N(N$2)&lt;=N($D67)),N$2,"")</f>
        <v/>
      </c>
      <c r="O67" s="25">
        <f>IF(AND(ISNUMBER($D67),N(O$2)&gt;=N($G$2),N(O$2)&lt;=N($D67)),O$2,"")</f>
        <v/>
      </c>
      <c r="P67" s="25">
        <f>IF(AND(ISNUMBER($D67),N(P$2)&gt;=N($G$2),N(P$2)&lt;=N($D67)),P$2,"")</f>
        <v/>
      </c>
      <c r="Q67" s="25">
        <f>IF(AND(ISNUMBER($D67),N(Q$2)&gt;=N($G$2),N(Q$2)&lt;=N($D67)),Q$2,"")</f>
        <v/>
      </c>
      <c r="R67" s="25">
        <f>IF(AND(ISNUMBER($D67),N(R$2)&gt;=N($G$2),N(R$2)&lt;=N($D67)),R$2,"")</f>
        <v/>
      </c>
      <c r="S67" s="25">
        <f>IF(AND(ISNUMBER($D67),N(S$2)&gt;=N($G$2),N(S$2)&lt;=N($D67)),S$2,"")</f>
        <v/>
      </c>
      <c r="T67" s="25">
        <f>IF(AND(ISNUMBER($D67),N(T$2)&gt;=N($G$2),N(T$2)&lt;=N($D67)),T$2,"")</f>
        <v/>
      </c>
      <c r="U67" s="25">
        <f>IF(AND(ISNUMBER($D67),N(U$2)&gt;=N($G$2),N(U$2)&lt;=N($D67)),U$2,"")</f>
        <v/>
      </c>
      <c r="V67" s="25">
        <f>IF(AND(ISNUMBER($D67),N(V$2)&gt;=N($G$2),N(V$2)&lt;=N($D67)),V$2,"")</f>
        <v/>
      </c>
      <c r="W67" s="25">
        <f>IF(AND(ISNUMBER($D67),N(W$2)&gt;=N($G$2),N(W$2)&lt;=N($D67)),W$2,"")</f>
        <v/>
      </c>
      <c r="X67" s="25">
        <f>IF(AND(ISNUMBER($D67),N(X$2)&gt;=N($G$2),N(X$2)&lt;=N($D67)),X$2,"")</f>
        <v/>
      </c>
      <c r="Y67" s="25">
        <f>IF(AND(ISNUMBER($D67),N(Y$2)&gt;=N($G$2),N(Y$2)&lt;=N($D67)),Y$2,"")</f>
        <v/>
      </c>
      <c r="Z67" s="25">
        <f>IF(AND(ISNUMBER($D67),N(Z$2)&gt;=N($G$2),N(Z$2)&lt;=N($D67)),Z$2,"")</f>
        <v/>
      </c>
      <c r="AA67" s="25">
        <f>IF(AND(ISNUMBER($D67),N(AA$2)&gt;=N($G$2),N(AA$2)&lt;=N($D67)),AA$2,"")</f>
        <v/>
      </c>
      <c r="AB67" s="25">
        <f>IF(AND(ISNUMBER($D67),N(AB$2)&gt;=N($G$2),N(AB$2)&lt;=N($D67)),AB$2,"")</f>
        <v/>
      </c>
      <c r="AC67" s="25">
        <f>IF(AND(ISNUMBER($D67),N(AC$2)&gt;=N($G$2),N(AC$2)&lt;=N($D67)),AC$2,"")</f>
        <v/>
      </c>
      <c r="AD67" s="25">
        <f>IF(AND(ISNUMBER($D67),N(AD$2)&gt;=N($G$2),N(AD$2)&lt;=N($D67)),AD$2,"")</f>
        <v/>
      </c>
      <c r="AE67" s="25">
        <f>IF(AND(ISNUMBER($D67),N(AE$2)&gt;=N($G$2),N(AE$2)&lt;=N($D67)),AE$2,"")</f>
        <v/>
      </c>
      <c r="AF67" s="25">
        <f>IF(AND(ISNUMBER($D67),N(AF$2)&gt;=N($G$2),N(AF$2)&lt;=N($D67)),AF$2,"")</f>
        <v/>
      </c>
      <c r="AG67" s="25">
        <f>IF(AND(ISNUMBER($D67),N(AG$2)&gt;=N($G$2),N(AG$2)&lt;=N($D67)),AG$2,"")</f>
        <v/>
      </c>
      <c r="AH67" s="25">
        <f>IF(AND(ISNUMBER($D67),N(AH$2)&gt;=N($G$2),N(AH$2)&lt;=N($D67)),AH$2,"")</f>
        <v/>
      </c>
      <c r="AI67" s="25">
        <f>IF(AND(ISNUMBER($D67),N(AI$2)&gt;=N($G$2),N(AI$2)&lt;=N($D67)),AI$2,"")</f>
        <v/>
      </c>
      <c r="AJ67" s="25">
        <f>IF(AND(ISNUMBER($D67),N(AJ$2)&gt;=N($G$2),N(AJ$2)&lt;=N($D67)),AJ$2,"")</f>
        <v/>
      </c>
      <c r="AK67" s="25">
        <f>IF(AND(ISNUMBER($D67),N(AK$2)&gt;=N($G$2),N(AK$2)&lt;=N($D67)),AK$2,"")</f>
        <v/>
      </c>
      <c r="AL67" s="25">
        <f>IF(AND(ISNUMBER($D67),N(AL$2)&gt;=N($G$2),N(AL$2)&lt;=N($D67)),AL$2,"")</f>
        <v/>
      </c>
      <c r="AM67" s="25">
        <f>IF(AND(ISNUMBER($D67),N(AM$2)&gt;=N($G$2),N(AM$2)&lt;=N($D67)),AM$2,"")</f>
        <v/>
      </c>
      <c r="AN67" s="25">
        <f>IF(AND(ISNUMBER($D67),N(AN$2)&gt;=N($G$2),N(AN$2)&lt;=N($D67)),AN$2,"")</f>
        <v/>
      </c>
      <c r="AO67" s="25">
        <f>IF(AND(ISNUMBER($D67),N(AO$2)&gt;=N($G$2),N(AO$2)&lt;=N($D67)),AO$2,"")</f>
        <v/>
      </c>
      <c r="AP67" s="25">
        <f>IF(AND(ISNUMBER($D67),N(AP$2)&gt;=N($G$2),N(AP$2)&lt;=N($D67)),AP$2,"")</f>
        <v/>
      </c>
      <c r="AQ67" s="25">
        <f>IF(AND(ISNUMBER($D67),N(AQ$2)&gt;=N($G$2),N(AQ$2)&lt;=N($D67)),AQ$2,"")</f>
        <v/>
      </c>
      <c r="AR67" s="25">
        <f>IF(AND(ISNUMBER($D67),N(AR$2)&gt;=N($G$2),N(AR$2)&lt;=N($D67)),AR$2,"")</f>
        <v/>
      </c>
      <c r="AS67" s="25">
        <f>IF(AND(ISNUMBER($D67),N(AS$2)&gt;=N($G$2),N(AS$2)&lt;=N($D67)),AS$2,"")</f>
        <v/>
      </c>
      <c r="AT67" s="25">
        <f>IF(AND(ISNUMBER($D67),N(AT$2)&gt;=N($G$2),N(AT$2)&lt;=N($D67)),AT$2,"")</f>
        <v/>
      </c>
      <c r="AU67" s="25">
        <f>IF(AND(ISNUMBER($D67),N(AU$2)&gt;=N($G$2),N(AU$2)&lt;=N($D67)),AU$2,"")</f>
        <v/>
      </c>
      <c r="AV67" s="25">
        <f>IF(AND(ISNUMBER($D67),N(AV$2)&gt;=N($G$2),N(AV$2)&lt;=N($D67)),AV$2,"")</f>
        <v/>
      </c>
      <c r="AW67" s="25">
        <f>IF(AND(ISNUMBER($D67),N(AW$2)&gt;=N($G$2),N(AW$2)&lt;=N($D67)),AW$2,"")</f>
        <v/>
      </c>
      <c r="AX67" s="25">
        <f>IF(AND(ISNUMBER($D67),N(AX$2)&gt;=N($G$2),N(AX$2)&lt;=N($D67)),AX$2,"")</f>
        <v/>
      </c>
      <c r="AY67" s="25">
        <f>IF(AND(ISNUMBER($D67),N(AY$2)&gt;=N($G$2),N(AY$2)&lt;=N($D67)),AY$2,"")</f>
        <v/>
      </c>
      <c r="AZ67" s="25">
        <f>IF(AND(ISNUMBER($D67),N(AZ$2)&gt;=N($G$2),N(AZ$2)&lt;=N($D67)),AZ$2,"")</f>
        <v/>
      </c>
      <c r="BA67" s="25">
        <f>IF(AND(ISNUMBER($D67),N(BA$2)&gt;=N($G$2),N(BA$2)&lt;=N($D67)),BA$2,"")</f>
        <v/>
      </c>
      <c r="BB67" s="25">
        <f>IF(AND(ISNUMBER($D67),N(BB$2)&gt;=N($G$2),N(BB$2)&lt;=N($D67)),BB$2,"")</f>
        <v/>
      </c>
      <c r="BC67" s="25">
        <f>IF(AND(ISNUMBER($D67),N(BC$2)&gt;=N($G$2),N(BC$2)&lt;=N($D67)),BC$2,"")</f>
        <v/>
      </c>
      <c r="BD67" s="25">
        <f>IF(AND(ISNUMBER($D67),N(BD$2)&gt;=N($G$2),N(BD$2)&lt;=N($D67)),BD$2,"")</f>
        <v/>
      </c>
      <c r="BE67" s="25">
        <f>IF(AND(ISNUMBER($D67),N(BE$2)&gt;=N($G$2),N(BE$2)&lt;=N($D67)),BE$2,"")</f>
        <v/>
      </c>
      <c r="BF67" s="25">
        <f>IF(AND(ISNUMBER($D67),N(BF$2)&gt;=N($G$2),N(BF$2)&lt;=N($D67)),BF$2,"")</f>
        <v/>
      </c>
      <c r="BG67" s="25">
        <f>IF(AND(ISNUMBER($D67),N(BG$2)&gt;=N($G$2),N(BG$2)&lt;=N($D67)),BG$2,"")</f>
        <v/>
      </c>
      <c r="BH67" s="25">
        <f>IF(AND(ISNUMBER($D67),N(BH$2)&gt;=N($G$2),N(BH$2)&lt;=N($D67)),BH$2,"")</f>
        <v/>
      </c>
      <c r="BI67" s="25">
        <f>IF(AND(ISNUMBER($D67),N(BI$2)&gt;=N($G$2),N(BI$2)&lt;=N($D67)),BI$2,"")</f>
        <v/>
      </c>
      <c r="BJ67" s="25">
        <f>IF(AND(ISNUMBER($D67),N(BJ$2)&gt;=N($G$2),N(BJ$2)&lt;=N($D67)),BJ$2,"")</f>
        <v/>
      </c>
      <c r="BK67" s="25">
        <f>IF(AND(ISNUMBER($D67),N(BK$2)&gt;=N($G$2),N(BK$2)&lt;=N($D67)),BK$2,"")</f>
        <v/>
      </c>
      <c r="BL67" s="25">
        <f>IF(AND(ISNUMBER($D67),N(BL$2)&gt;=N($G$2),N(BL$2)&lt;=N($D67)),BL$2,"")</f>
        <v/>
      </c>
      <c r="BM67" s="25">
        <f>IF(AND(ISNUMBER($D67),N(BM$2)&gt;=N($G$2),N(BM$2)&lt;=N($D67)),BM$2,"")</f>
        <v/>
      </c>
      <c r="BN67" s="25">
        <f>IF(AND(ISNUMBER($D67),N(BN$2)&gt;=N($G$2),N(BN$2)&lt;=N($D67)),BN$2,"")</f>
        <v/>
      </c>
      <c r="BO67" s="25">
        <f>IF(AND(ISNUMBER($D67),N(BO$2)&gt;=N($G$2),N(BO$2)&lt;=N($D67)),BO$2,"")</f>
        <v/>
      </c>
    </row>
    <row r="68" ht="20" customHeight="1">
      <c r="A68" s="26" t="inlineStr">
        <is>
          <t>实际</t>
        </is>
      </c>
      <c r="B68" s="26" t="inlineStr">
        <is>
          <t>第二期</t>
        </is>
      </c>
      <c r="C68" s="27" t="inlineStr">
        <is>
          <t>PAB180·零件到位</t>
        </is>
      </c>
      <c r="D68" s="28">
        <f>'时间节点计划表'!E34</f>
        <v/>
      </c>
      <c r="E68" s="28">
        <f>IF(COUNT('时间节点计划表'!F34),'时间节点计划表'!F34,"")</f>
        <v/>
      </c>
      <c r="F68" s="29">
        <f>IF(OR(D68="",E68=""),"待填",E68-D68)</f>
        <v/>
      </c>
      <c r="G68" s="25">
        <f>IF(AND(ISNUMBER($E68),N(G$2)&gt;=N($G$2),N(G$2)&lt;=N($E68)),G$2,"")</f>
        <v/>
      </c>
      <c r="H68" s="25">
        <f>IF(AND(ISNUMBER($E68),N(H$2)&gt;=N($G$2),N(H$2)&lt;=N($E68)),H$2,"")</f>
        <v/>
      </c>
      <c r="I68" s="25">
        <f>IF(AND(ISNUMBER($E68),N(I$2)&gt;=N($G$2),N(I$2)&lt;=N($E68)),I$2,"")</f>
        <v/>
      </c>
      <c r="J68" s="25">
        <f>IF(AND(ISNUMBER($E68),N(J$2)&gt;=N($G$2),N(J$2)&lt;=N($E68)),J$2,"")</f>
        <v/>
      </c>
      <c r="K68" s="25">
        <f>IF(AND(ISNUMBER($E68),N(K$2)&gt;=N($G$2),N(K$2)&lt;=N($E68)),K$2,"")</f>
        <v/>
      </c>
      <c r="L68" s="25">
        <f>IF(AND(ISNUMBER($E68),N(L$2)&gt;=N($G$2),N(L$2)&lt;=N($E68)),L$2,"")</f>
        <v/>
      </c>
      <c r="M68" s="25">
        <f>IF(AND(ISNUMBER($E68),N(M$2)&gt;=N($G$2),N(M$2)&lt;=N($E68)),M$2,"")</f>
        <v/>
      </c>
      <c r="N68" s="25">
        <f>IF(AND(ISNUMBER($E68),N(N$2)&gt;=N($G$2),N(N$2)&lt;=N($E68)),N$2,"")</f>
        <v/>
      </c>
      <c r="O68" s="25">
        <f>IF(AND(ISNUMBER($E68),N(O$2)&gt;=N($G$2),N(O$2)&lt;=N($E68)),O$2,"")</f>
        <v/>
      </c>
      <c r="P68" s="25">
        <f>IF(AND(ISNUMBER($E68),N(P$2)&gt;=N($G$2),N(P$2)&lt;=N($E68)),P$2,"")</f>
        <v/>
      </c>
      <c r="Q68" s="25">
        <f>IF(AND(ISNUMBER($E68),N(Q$2)&gt;=N($G$2),N(Q$2)&lt;=N($E68)),Q$2,"")</f>
        <v/>
      </c>
      <c r="R68" s="25">
        <f>IF(AND(ISNUMBER($E68),N(R$2)&gt;=N($G$2),N(R$2)&lt;=N($E68)),R$2,"")</f>
        <v/>
      </c>
      <c r="S68" s="25">
        <f>IF(AND(ISNUMBER($E68),N(S$2)&gt;=N($G$2),N(S$2)&lt;=N($E68)),S$2,"")</f>
        <v/>
      </c>
      <c r="T68" s="25">
        <f>IF(AND(ISNUMBER($E68),N(T$2)&gt;=N($G$2),N(T$2)&lt;=N($E68)),T$2,"")</f>
        <v/>
      </c>
      <c r="U68" s="25">
        <f>IF(AND(ISNUMBER($E68),N(U$2)&gt;=N($G$2),N(U$2)&lt;=N($E68)),U$2,"")</f>
        <v/>
      </c>
      <c r="V68" s="25">
        <f>IF(AND(ISNUMBER($E68),N(V$2)&gt;=N($G$2),N(V$2)&lt;=N($E68)),V$2,"")</f>
        <v/>
      </c>
      <c r="W68" s="25">
        <f>IF(AND(ISNUMBER($E68),N(W$2)&gt;=N($G$2),N(W$2)&lt;=N($E68)),W$2,"")</f>
        <v/>
      </c>
      <c r="X68" s="25">
        <f>IF(AND(ISNUMBER($E68),N(X$2)&gt;=N($G$2),N(X$2)&lt;=N($E68)),X$2,"")</f>
        <v/>
      </c>
      <c r="Y68" s="25">
        <f>IF(AND(ISNUMBER($E68),N(Y$2)&gt;=N($G$2),N(Y$2)&lt;=N($E68)),Y$2,"")</f>
        <v/>
      </c>
      <c r="Z68" s="25">
        <f>IF(AND(ISNUMBER($E68),N(Z$2)&gt;=N($G$2),N(Z$2)&lt;=N($E68)),Z$2,"")</f>
        <v/>
      </c>
      <c r="AA68" s="25">
        <f>IF(AND(ISNUMBER($E68),N(AA$2)&gt;=N($G$2),N(AA$2)&lt;=N($E68)),AA$2,"")</f>
        <v/>
      </c>
      <c r="AB68" s="25">
        <f>IF(AND(ISNUMBER($E68),N(AB$2)&gt;=N($G$2),N(AB$2)&lt;=N($E68)),AB$2,"")</f>
        <v/>
      </c>
      <c r="AC68" s="25">
        <f>IF(AND(ISNUMBER($E68),N(AC$2)&gt;=N($G$2),N(AC$2)&lt;=N($E68)),AC$2,"")</f>
        <v/>
      </c>
      <c r="AD68" s="25">
        <f>IF(AND(ISNUMBER($E68),N(AD$2)&gt;=N($G$2),N(AD$2)&lt;=N($E68)),AD$2,"")</f>
        <v/>
      </c>
      <c r="AE68" s="25">
        <f>IF(AND(ISNUMBER($E68),N(AE$2)&gt;=N($G$2),N(AE$2)&lt;=N($E68)),AE$2,"")</f>
        <v/>
      </c>
      <c r="AF68" s="25">
        <f>IF(AND(ISNUMBER($E68),N(AF$2)&gt;=N($G$2),N(AF$2)&lt;=N($E68)),AF$2,"")</f>
        <v/>
      </c>
      <c r="AG68" s="25">
        <f>IF(AND(ISNUMBER($E68),N(AG$2)&gt;=N($G$2),N(AG$2)&lt;=N($E68)),AG$2,"")</f>
        <v/>
      </c>
      <c r="AH68" s="25">
        <f>IF(AND(ISNUMBER($E68),N(AH$2)&gt;=N($G$2),N(AH$2)&lt;=N($E68)),AH$2,"")</f>
        <v/>
      </c>
      <c r="AI68" s="25">
        <f>IF(AND(ISNUMBER($E68),N(AI$2)&gt;=N($G$2),N(AI$2)&lt;=N($E68)),AI$2,"")</f>
        <v/>
      </c>
      <c r="AJ68" s="25">
        <f>IF(AND(ISNUMBER($E68),N(AJ$2)&gt;=N($G$2),N(AJ$2)&lt;=N($E68)),AJ$2,"")</f>
        <v/>
      </c>
      <c r="AK68" s="25">
        <f>IF(AND(ISNUMBER($E68),N(AK$2)&gt;=N($G$2),N(AK$2)&lt;=N($E68)),AK$2,"")</f>
        <v/>
      </c>
      <c r="AL68" s="25">
        <f>IF(AND(ISNUMBER($E68),N(AL$2)&gt;=N($G$2),N(AL$2)&lt;=N($E68)),AL$2,"")</f>
        <v/>
      </c>
      <c r="AM68" s="25">
        <f>IF(AND(ISNUMBER($E68),N(AM$2)&gt;=N($G$2),N(AM$2)&lt;=N($E68)),AM$2,"")</f>
        <v/>
      </c>
      <c r="AN68" s="25">
        <f>IF(AND(ISNUMBER($E68),N(AN$2)&gt;=N($G$2),N(AN$2)&lt;=N($E68)),AN$2,"")</f>
        <v/>
      </c>
      <c r="AO68" s="25">
        <f>IF(AND(ISNUMBER($E68),N(AO$2)&gt;=N($G$2),N(AO$2)&lt;=N($E68)),AO$2,"")</f>
        <v/>
      </c>
      <c r="AP68" s="25">
        <f>IF(AND(ISNUMBER($E68),N(AP$2)&gt;=N($G$2),N(AP$2)&lt;=N($E68)),AP$2,"")</f>
        <v/>
      </c>
      <c r="AQ68" s="25">
        <f>IF(AND(ISNUMBER($E68),N(AQ$2)&gt;=N($G$2),N(AQ$2)&lt;=N($E68)),AQ$2,"")</f>
        <v/>
      </c>
      <c r="AR68" s="25">
        <f>IF(AND(ISNUMBER($E68),N(AR$2)&gt;=N($G$2),N(AR$2)&lt;=N($E68)),AR$2,"")</f>
        <v/>
      </c>
      <c r="AS68" s="25">
        <f>IF(AND(ISNUMBER($E68),N(AS$2)&gt;=N($G$2),N(AS$2)&lt;=N($E68)),AS$2,"")</f>
        <v/>
      </c>
      <c r="AT68" s="25">
        <f>IF(AND(ISNUMBER($E68),N(AT$2)&gt;=N($G$2),N(AT$2)&lt;=N($E68)),AT$2,"")</f>
        <v/>
      </c>
      <c r="AU68" s="25">
        <f>IF(AND(ISNUMBER($E68),N(AU$2)&gt;=N($G$2),N(AU$2)&lt;=N($E68)),AU$2,"")</f>
        <v/>
      </c>
      <c r="AV68" s="25">
        <f>IF(AND(ISNUMBER($E68),N(AV$2)&gt;=N($G$2),N(AV$2)&lt;=N($E68)),AV$2,"")</f>
        <v/>
      </c>
      <c r="AW68" s="25">
        <f>IF(AND(ISNUMBER($E68),N(AW$2)&gt;=N($G$2),N(AW$2)&lt;=N($E68)),AW$2,"")</f>
        <v/>
      </c>
      <c r="AX68" s="25">
        <f>IF(AND(ISNUMBER($E68),N(AX$2)&gt;=N($G$2),N(AX$2)&lt;=N($E68)),AX$2,"")</f>
        <v/>
      </c>
      <c r="AY68" s="25">
        <f>IF(AND(ISNUMBER($E68),N(AY$2)&gt;=N($G$2),N(AY$2)&lt;=N($E68)),AY$2,"")</f>
        <v/>
      </c>
      <c r="AZ68" s="25">
        <f>IF(AND(ISNUMBER($E68),N(AZ$2)&gt;=N($G$2),N(AZ$2)&lt;=N($E68)),AZ$2,"")</f>
        <v/>
      </c>
      <c r="BA68" s="25">
        <f>IF(AND(ISNUMBER($E68),N(BA$2)&gt;=N($G$2),N(BA$2)&lt;=N($E68)),BA$2,"")</f>
        <v/>
      </c>
      <c r="BB68" s="25">
        <f>IF(AND(ISNUMBER($E68),N(BB$2)&gt;=N($G$2),N(BB$2)&lt;=N($E68)),BB$2,"")</f>
        <v/>
      </c>
      <c r="BC68" s="25">
        <f>IF(AND(ISNUMBER($E68),N(BC$2)&gt;=N($G$2),N(BC$2)&lt;=N($E68)),BC$2,"")</f>
        <v/>
      </c>
      <c r="BD68" s="25">
        <f>IF(AND(ISNUMBER($E68),N(BD$2)&gt;=N($G$2),N(BD$2)&lt;=N($E68)),BD$2,"")</f>
        <v/>
      </c>
      <c r="BE68" s="25">
        <f>IF(AND(ISNUMBER($E68),N(BE$2)&gt;=N($G$2),N(BE$2)&lt;=N($E68)),BE$2,"")</f>
        <v/>
      </c>
      <c r="BF68" s="25">
        <f>IF(AND(ISNUMBER($E68),N(BF$2)&gt;=N($G$2),N(BF$2)&lt;=N($E68)),BF$2,"")</f>
        <v/>
      </c>
      <c r="BG68" s="25">
        <f>IF(AND(ISNUMBER($E68),N(BG$2)&gt;=N($G$2),N(BG$2)&lt;=N($E68)),BG$2,"")</f>
        <v/>
      </c>
      <c r="BH68" s="25">
        <f>IF(AND(ISNUMBER($E68),N(BH$2)&gt;=N($G$2),N(BH$2)&lt;=N($E68)),BH$2,"")</f>
        <v/>
      </c>
      <c r="BI68" s="25">
        <f>IF(AND(ISNUMBER($E68),N(BI$2)&gt;=N($G$2),N(BI$2)&lt;=N($E68)),BI$2,"")</f>
        <v/>
      </c>
      <c r="BJ68" s="25">
        <f>IF(AND(ISNUMBER($E68),N(BJ$2)&gt;=N($G$2),N(BJ$2)&lt;=N($E68)),BJ$2,"")</f>
        <v/>
      </c>
      <c r="BK68" s="25">
        <f>IF(AND(ISNUMBER($E68),N(BK$2)&gt;=N($G$2),N(BK$2)&lt;=N($E68)),BK$2,"")</f>
        <v/>
      </c>
      <c r="BL68" s="25">
        <f>IF(AND(ISNUMBER($E68),N(BL$2)&gt;=N($G$2),N(BL$2)&lt;=N($E68)),BL$2,"")</f>
        <v/>
      </c>
      <c r="BM68" s="25">
        <f>IF(AND(ISNUMBER($E68),N(BM$2)&gt;=N($G$2),N(BM$2)&lt;=N($E68)),BM$2,"")</f>
        <v/>
      </c>
      <c r="BN68" s="25">
        <f>IF(AND(ISNUMBER($E68),N(BN$2)&gt;=N($G$2),N(BN$2)&lt;=N($E68)),BN$2,"")</f>
        <v/>
      </c>
      <c r="BO68" s="25">
        <f>IF(AND(ISNUMBER($E68),N(BO$2)&gt;=N($G$2),N(BO$2)&lt;=N($E68)),BO$2,"")</f>
        <v/>
      </c>
    </row>
    <row r="69" ht="20" customHeight="1">
      <c r="A69" s="21" t="inlineStr">
        <is>
          <t>预估</t>
        </is>
      </c>
      <c r="B69" s="21" t="inlineStr">
        <is>
          <t>第二期</t>
        </is>
      </c>
      <c r="C69" s="22" t="inlineStr">
        <is>
          <t>PAB180·工装图纸绘制</t>
        </is>
      </c>
      <c r="D69" s="23">
        <f>'时间节点计划表'!E35</f>
        <v/>
      </c>
      <c r="E69" s="23">
        <f>IF(COUNT('时间节点计划表'!F35),'时间节点计划表'!F35,"")</f>
        <v/>
      </c>
      <c r="F69" s="24" t="inlineStr"/>
      <c r="G69" s="25">
        <f>IF(AND(ISNUMBER($D69),N(G$2)&gt;=N($G$2),N(G$2)&lt;=N($D69)),G$2,"")</f>
        <v/>
      </c>
      <c r="H69" s="25">
        <f>IF(AND(ISNUMBER($D69),N(H$2)&gt;=N($G$2),N(H$2)&lt;=N($D69)),H$2,"")</f>
        <v/>
      </c>
      <c r="I69" s="25">
        <f>IF(AND(ISNUMBER($D69),N(I$2)&gt;=N($G$2),N(I$2)&lt;=N($D69)),I$2,"")</f>
        <v/>
      </c>
      <c r="J69" s="25">
        <f>IF(AND(ISNUMBER($D69),N(J$2)&gt;=N($G$2),N(J$2)&lt;=N($D69)),J$2,"")</f>
        <v/>
      </c>
      <c r="K69" s="25">
        <f>IF(AND(ISNUMBER($D69),N(K$2)&gt;=N($G$2),N(K$2)&lt;=N($D69)),K$2,"")</f>
        <v/>
      </c>
      <c r="L69" s="25">
        <f>IF(AND(ISNUMBER($D69),N(L$2)&gt;=N($G$2),N(L$2)&lt;=N($D69)),L$2,"")</f>
        <v/>
      </c>
      <c r="M69" s="25">
        <f>IF(AND(ISNUMBER($D69),N(M$2)&gt;=N($G$2),N(M$2)&lt;=N($D69)),M$2,"")</f>
        <v/>
      </c>
      <c r="N69" s="25">
        <f>IF(AND(ISNUMBER($D69),N(N$2)&gt;=N($G$2),N(N$2)&lt;=N($D69)),N$2,"")</f>
        <v/>
      </c>
      <c r="O69" s="25">
        <f>IF(AND(ISNUMBER($D69),N(O$2)&gt;=N($G$2),N(O$2)&lt;=N($D69)),O$2,"")</f>
        <v/>
      </c>
      <c r="P69" s="25">
        <f>IF(AND(ISNUMBER($D69),N(P$2)&gt;=N($G$2),N(P$2)&lt;=N($D69)),P$2,"")</f>
        <v/>
      </c>
      <c r="Q69" s="25">
        <f>IF(AND(ISNUMBER($D69),N(Q$2)&gt;=N($G$2),N(Q$2)&lt;=N($D69)),Q$2,"")</f>
        <v/>
      </c>
      <c r="R69" s="25">
        <f>IF(AND(ISNUMBER($D69),N(R$2)&gt;=N($G$2),N(R$2)&lt;=N($D69)),R$2,"")</f>
        <v/>
      </c>
      <c r="S69" s="25">
        <f>IF(AND(ISNUMBER($D69),N(S$2)&gt;=N($G$2),N(S$2)&lt;=N($D69)),S$2,"")</f>
        <v/>
      </c>
      <c r="T69" s="25">
        <f>IF(AND(ISNUMBER($D69),N(T$2)&gt;=N($G$2),N(T$2)&lt;=N($D69)),T$2,"")</f>
        <v/>
      </c>
      <c r="U69" s="25">
        <f>IF(AND(ISNUMBER($D69),N(U$2)&gt;=N($G$2),N(U$2)&lt;=N($D69)),U$2,"")</f>
        <v/>
      </c>
      <c r="V69" s="25">
        <f>IF(AND(ISNUMBER($D69),N(V$2)&gt;=N($G$2),N(V$2)&lt;=N($D69)),V$2,"")</f>
        <v/>
      </c>
      <c r="W69" s="25">
        <f>IF(AND(ISNUMBER($D69),N(W$2)&gt;=N($G$2),N(W$2)&lt;=N($D69)),W$2,"")</f>
        <v/>
      </c>
      <c r="X69" s="25">
        <f>IF(AND(ISNUMBER($D69),N(X$2)&gt;=N($G$2),N(X$2)&lt;=N($D69)),X$2,"")</f>
        <v/>
      </c>
      <c r="Y69" s="25">
        <f>IF(AND(ISNUMBER($D69),N(Y$2)&gt;=N($G$2),N(Y$2)&lt;=N($D69)),Y$2,"")</f>
        <v/>
      </c>
      <c r="Z69" s="25">
        <f>IF(AND(ISNUMBER($D69),N(Z$2)&gt;=N($G$2),N(Z$2)&lt;=N($D69)),Z$2,"")</f>
        <v/>
      </c>
      <c r="AA69" s="25">
        <f>IF(AND(ISNUMBER($D69),N(AA$2)&gt;=N($G$2),N(AA$2)&lt;=N($D69)),AA$2,"")</f>
        <v/>
      </c>
      <c r="AB69" s="25">
        <f>IF(AND(ISNUMBER($D69),N(AB$2)&gt;=N($G$2),N(AB$2)&lt;=N($D69)),AB$2,"")</f>
        <v/>
      </c>
      <c r="AC69" s="25">
        <f>IF(AND(ISNUMBER($D69),N(AC$2)&gt;=N($G$2),N(AC$2)&lt;=N($D69)),AC$2,"")</f>
        <v/>
      </c>
      <c r="AD69" s="25">
        <f>IF(AND(ISNUMBER($D69),N(AD$2)&gt;=N($G$2),N(AD$2)&lt;=N($D69)),AD$2,"")</f>
        <v/>
      </c>
      <c r="AE69" s="25">
        <f>IF(AND(ISNUMBER($D69),N(AE$2)&gt;=N($G$2),N(AE$2)&lt;=N($D69)),AE$2,"")</f>
        <v/>
      </c>
      <c r="AF69" s="25">
        <f>IF(AND(ISNUMBER($D69),N(AF$2)&gt;=N($G$2),N(AF$2)&lt;=N($D69)),AF$2,"")</f>
        <v/>
      </c>
      <c r="AG69" s="25">
        <f>IF(AND(ISNUMBER($D69),N(AG$2)&gt;=N($G$2),N(AG$2)&lt;=N($D69)),AG$2,"")</f>
        <v/>
      </c>
      <c r="AH69" s="25">
        <f>IF(AND(ISNUMBER($D69),N(AH$2)&gt;=N($G$2),N(AH$2)&lt;=N($D69)),AH$2,"")</f>
        <v/>
      </c>
      <c r="AI69" s="25">
        <f>IF(AND(ISNUMBER($D69),N(AI$2)&gt;=N($G$2),N(AI$2)&lt;=N($D69)),AI$2,"")</f>
        <v/>
      </c>
      <c r="AJ69" s="25">
        <f>IF(AND(ISNUMBER($D69),N(AJ$2)&gt;=N($G$2),N(AJ$2)&lt;=N($D69)),AJ$2,"")</f>
        <v/>
      </c>
      <c r="AK69" s="25">
        <f>IF(AND(ISNUMBER($D69),N(AK$2)&gt;=N($G$2),N(AK$2)&lt;=N($D69)),AK$2,"")</f>
        <v/>
      </c>
      <c r="AL69" s="25">
        <f>IF(AND(ISNUMBER($D69),N(AL$2)&gt;=N($G$2),N(AL$2)&lt;=N($D69)),AL$2,"")</f>
        <v/>
      </c>
      <c r="AM69" s="25">
        <f>IF(AND(ISNUMBER($D69),N(AM$2)&gt;=N($G$2),N(AM$2)&lt;=N($D69)),AM$2,"")</f>
        <v/>
      </c>
      <c r="AN69" s="25">
        <f>IF(AND(ISNUMBER($D69),N(AN$2)&gt;=N($G$2),N(AN$2)&lt;=N($D69)),AN$2,"")</f>
        <v/>
      </c>
      <c r="AO69" s="25">
        <f>IF(AND(ISNUMBER($D69),N(AO$2)&gt;=N($G$2),N(AO$2)&lt;=N($D69)),AO$2,"")</f>
        <v/>
      </c>
      <c r="AP69" s="25">
        <f>IF(AND(ISNUMBER($D69),N(AP$2)&gt;=N($G$2),N(AP$2)&lt;=N($D69)),AP$2,"")</f>
        <v/>
      </c>
      <c r="AQ69" s="25">
        <f>IF(AND(ISNUMBER($D69),N(AQ$2)&gt;=N($G$2),N(AQ$2)&lt;=N($D69)),AQ$2,"")</f>
        <v/>
      </c>
      <c r="AR69" s="25">
        <f>IF(AND(ISNUMBER($D69),N(AR$2)&gt;=N($G$2),N(AR$2)&lt;=N($D69)),AR$2,"")</f>
        <v/>
      </c>
      <c r="AS69" s="25">
        <f>IF(AND(ISNUMBER($D69),N(AS$2)&gt;=N($G$2),N(AS$2)&lt;=N($D69)),AS$2,"")</f>
        <v/>
      </c>
      <c r="AT69" s="25">
        <f>IF(AND(ISNUMBER($D69),N(AT$2)&gt;=N($G$2),N(AT$2)&lt;=N($D69)),AT$2,"")</f>
        <v/>
      </c>
      <c r="AU69" s="25">
        <f>IF(AND(ISNUMBER($D69),N(AU$2)&gt;=N($G$2),N(AU$2)&lt;=N($D69)),AU$2,"")</f>
        <v/>
      </c>
      <c r="AV69" s="25">
        <f>IF(AND(ISNUMBER($D69),N(AV$2)&gt;=N($G$2),N(AV$2)&lt;=N($D69)),AV$2,"")</f>
        <v/>
      </c>
      <c r="AW69" s="25">
        <f>IF(AND(ISNUMBER($D69),N(AW$2)&gt;=N($G$2),N(AW$2)&lt;=N($D69)),AW$2,"")</f>
        <v/>
      </c>
      <c r="AX69" s="25">
        <f>IF(AND(ISNUMBER($D69),N(AX$2)&gt;=N($G$2),N(AX$2)&lt;=N($D69)),AX$2,"")</f>
        <v/>
      </c>
      <c r="AY69" s="25">
        <f>IF(AND(ISNUMBER($D69),N(AY$2)&gt;=N($G$2),N(AY$2)&lt;=N($D69)),AY$2,"")</f>
        <v/>
      </c>
      <c r="AZ69" s="25">
        <f>IF(AND(ISNUMBER($D69),N(AZ$2)&gt;=N($G$2),N(AZ$2)&lt;=N($D69)),AZ$2,"")</f>
        <v/>
      </c>
      <c r="BA69" s="25">
        <f>IF(AND(ISNUMBER($D69),N(BA$2)&gt;=N($G$2),N(BA$2)&lt;=N($D69)),BA$2,"")</f>
        <v/>
      </c>
      <c r="BB69" s="25">
        <f>IF(AND(ISNUMBER($D69),N(BB$2)&gt;=N($G$2),N(BB$2)&lt;=N($D69)),BB$2,"")</f>
        <v/>
      </c>
      <c r="BC69" s="25">
        <f>IF(AND(ISNUMBER($D69),N(BC$2)&gt;=N($G$2),N(BC$2)&lt;=N($D69)),BC$2,"")</f>
        <v/>
      </c>
      <c r="BD69" s="25">
        <f>IF(AND(ISNUMBER($D69),N(BD$2)&gt;=N($G$2),N(BD$2)&lt;=N($D69)),BD$2,"")</f>
        <v/>
      </c>
      <c r="BE69" s="25">
        <f>IF(AND(ISNUMBER($D69),N(BE$2)&gt;=N($G$2),N(BE$2)&lt;=N($D69)),BE$2,"")</f>
        <v/>
      </c>
      <c r="BF69" s="25">
        <f>IF(AND(ISNUMBER($D69),N(BF$2)&gt;=N($G$2),N(BF$2)&lt;=N($D69)),BF$2,"")</f>
        <v/>
      </c>
      <c r="BG69" s="25">
        <f>IF(AND(ISNUMBER($D69),N(BG$2)&gt;=N($G$2),N(BG$2)&lt;=N($D69)),BG$2,"")</f>
        <v/>
      </c>
      <c r="BH69" s="25">
        <f>IF(AND(ISNUMBER($D69),N(BH$2)&gt;=N($G$2),N(BH$2)&lt;=N($D69)),BH$2,"")</f>
        <v/>
      </c>
      <c r="BI69" s="25">
        <f>IF(AND(ISNUMBER($D69),N(BI$2)&gt;=N($G$2),N(BI$2)&lt;=N($D69)),BI$2,"")</f>
        <v/>
      </c>
      <c r="BJ69" s="25">
        <f>IF(AND(ISNUMBER($D69),N(BJ$2)&gt;=N($G$2),N(BJ$2)&lt;=N($D69)),BJ$2,"")</f>
        <v/>
      </c>
      <c r="BK69" s="25">
        <f>IF(AND(ISNUMBER($D69),N(BK$2)&gt;=N($G$2),N(BK$2)&lt;=N($D69)),BK$2,"")</f>
        <v/>
      </c>
      <c r="BL69" s="25">
        <f>IF(AND(ISNUMBER($D69),N(BL$2)&gt;=N($G$2),N(BL$2)&lt;=N($D69)),BL$2,"")</f>
        <v/>
      </c>
      <c r="BM69" s="25">
        <f>IF(AND(ISNUMBER($D69),N(BM$2)&gt;=N($G$2),N(BM$2)&lt;=N($D69)),BM$2,"")</f>
        <v/>
      </c>
      <c r="BN69" s="25">
        <f>IF(AND(ISNUMBER($D69),N(BN$2)&gt;=N($G$2),N(BN$2)&lt;=N($D69)),BN$2,"")</f>
        <v/>
      </c>
      <c r="BO69" s="25">
        <f>IF(AND(ISNUMBER($D69),N(BO$2)&gt;=N($G$2),N(BO$2)&lt;=N($D69)),BO$2,"")</f>
        <v/>
      </c>
    </row>
    <row r="70" ht="20" customHeight="1">
      <c r="A70" s="26" t="inlineStr">
        <is>
          <t>实际</t>
        </is>
      </c>
      <c r="B70" s="26" t="inlineStr">
        <is>
          <t>第二期</t>
        </is>
      </c>
      <c r="C70" s="27" t="inlineStr">
        <is>
          <t>PAB180·工装图纸绘制</t>
        </is>
      </c>
      <c r="D70" s="28">
        <f>'时间节点计划表'!E35</f>
        <v/>
      </c>
      <c r="E70" s="28">
        <f>IF(COUNT('时间节点计划表'!F35),'时间节点计划表'!F35,"")</f>
        <v/>
      </c>
      <c r="F70" s="29">
        <f>IF(OR(D70="",E70=""),"待填",E70-D70)</f>
        <v/>
      </c>
      <c r="G70" s="25">
        <f>IF(AND(ISNUMBER($E70),N(G$2)&gt;=N($G$2),N(G$2)&lt;=N($E70)),G$2,"")</f>
        <v/>
      </c>
      <c r="H70" s="25">
        <f>IF(AND(ISNUMBER($E70),N(H$2)&gt;=N($G$2),N(H$2)&lt;=N($E70)),H$2,"")</f>
        <v/>
      </c>
      <c r="I70" s="25">
        <f>IF(AND(ISNUMBER($E70),N(I$2)&gt;=N($G$2),N(I$2)&lt;=N($E70)),I$2,"")</f>
        <v/>
      </c>
      <c r="J70" s="25">
        <f>IF(AND(ISNUMBER($E70),N(J$2)&gt;=N($G$2),N(J$2)&lt;=N($E70)),J$2,"")</f>
        <v/>
      </c>
      <c r="K70" s="25">
        <f>IF(AND(ISNUMBER($E70),N(K$2)&gt;=N($G$2),N(K$2)&lt;=N($E70)),K$2,"")</f>
        <v/>
      </c>
      <c r="L70" s="25">
        <f>IF(AND(ISNUMBER($E70),N(L$2)&gt;=N($G$2),N(L$2)&lt;=N($E70)),L$2,"")</f>
        <v/>
      </c>
      <c r="M70" s="25">
        <f>IF(AND(ISNUMBER($E70),N(M$2)&gt;=N($G$2),N(M$2)&lt;=N($E70)),M$2,"")</f>
        <v/>
      </c>
      <c r="N70" s="25">
        <f>IF(AND(ISNUMBER($E70),N(N$2)&gt;=N($G$2),N(N$2)&lt;=N($E70)),N$2,"")</f>
        <v/>
      </c>
      <c r="O70" s="25">
        <f>IF(AND(ISNUMBER($E70),N(O$2)&gt;=N($G$2),N(O$2)&lt;=N($E70)),O$2,"")</f>
        <v/>
      </c>
      <c r="P70" s="25">
        <f>IF(AND(ISNUMBER($E70),N(P$2)&gt;=N($G$2),N(P$2)&lt;=N($E70)),P$2,"")</f>
        <v/>
      </c>
      <c r="Q70" s="25">
        <f>IF(AND(ISNUMBER($E70),N(Q$2)&gt;=N($G$2),N(Q$2)&lt;=N($E70)),Q$2,"")</f>
        <v/>
      </c>
      <c r="R70" s="25">
        <f>IF(AND(ISNUMBER($E70),N(R$2)&gt;=N($G$2),N(R$2)&lt;=N($E70)),R$2,"")</f>
        <v/>
      </c>
      <c r="S70" s="25">
        <f>IF(AND(ISNUMBER($E70),N(S$2)&gt;=N($G$2),N(S$2)&lt;=N($E70)),S$2,"")</f>
        <v/>
      </c>
      <c r="T70" s="25">
        <f>IF(AND(ISNUMBER($E70),N(T$2)&gt;=N($G$2),N(T$2)&lt;=N($E70)),T$2,"")</f>
        <v/>
      </c>
      <c r="U70" s="25">
        <f>IF(AND(ISNUMBER($E70),N(U$2)&gt;=N($G$2),N(U$2)&lt;=N($E70)),U$2,"")</f>
        <v/>
      </c>
      <c r="V70" s="25">
        <f>IF(AND(ISNUMBER($E70),N(V$2)&gt;=N($G$2),N(V$2)&lt;=N($E70)),V$2,"")</f>
        <v/>
      </c>
      <c r="W70" s="25">
        <f>IF(AND(ISNUMBER($E70),N(W$2)&gt;=N($G$2),N(W$2)&lt;=N($E70)),W$2,"")</f>
        <v/>
      </c>
      <c r="X70" s="25">
        <f>IF(AND(ISNUMBER($E70),N(X$2)&gt;=N($G$2),N(X$2)&lt;=N($E70)),X$2,"")</f>
        <v/>
      </c>
      <c r="Y70" s="25">
        <f>IF(AND(ISNUMBER($E70),N(Y$2)&gt;=N($G$2),N(Y$2)&lt;=N($E70)),Y$2,"")</f>
        <v/>
      </c>
      <c r="Z70" s="25">
        <f>IF(AND(ISNUMBER($E70),N(Z$2)&gt;=N($G$2),N(Z$2)&lt;=N($E70)),Z$2,"")</f>
        <v/>
      </c>
      <c r="AA70" s="25">
        <f>IF(AND(ISNUMBER($E70),N(AA$2)&gt;=N($G$2),N(AA$2)&lt;=N($E70)),AA$2,"")</f>
        <v/>
      </c>
      <c r="AB70" s="25">
        <f>IF(AND(ISNUMBER($E70),N(AB$2)&gt;=N($G$2),N(AB$2)&lt;=N($E70)),AB$2,"")</f>
        <v/>
      </c>
      <c r="AC70" s="25">
        <f>IF(AND(ISNUMBER($E70),N(AC$2)&gt;=N($G$2),N(AC$2)&lt;=N($E70)),AC$2,"")</f>
        <v/>
      </c>
      <c r="AD70" s="25">
        <f>IF(AND(ISNUMBER($E70),N(AD$2)&gt;=N($G$2),N(AD$2)&lt;=N($E70)),AD$2,"")</f>
        <v/>
      </c>
      <c r="AE70" s="25">
        <f>IF(AND(ISNUMBER($E70),N(AE$2)&gt;=N($G$2),N(AE$2)&lt;=N($E70)),AE$2,"")</f>
        <v/>
      </c>
      <c r="AF70" s="25">
        <f>IF(AND(ISNUMBER($E70),N(AF$2)&gt;=N($G$2),N(AF$2)&lt;=N($E70)),AF$2,"")</f>
        <v/>
      </c>
      <c r="AG70" s="25">
        <f>IF(AND(ISNUMBER($E70),N(AG$2)&gt;=N($G$2),N(AG$2)&lt;=N($E70)),AG$2,"")</f>
        <v/>
      </c>
      <c r="AH70" s="25">
        <f>IF(AND(ISNUMBER($E70),N(AH$2)&gt;=N($G$2),N(AH$2)&lt;=N($E70)),AH$2,"")</f>
        <v/>
      </c>
      <c r="AI70" s="25">
        <f>IF(AND(ISNUMBER($E70),N(AI$2)&gt;=N($G$2),N(AI$2)&lt;=N($E70)),AI$2,"")</f>
        <v/>
      </c>
      <c r="AJ70" s="25">
        <f>IF(AND(ISNUMBER($E70),N(AJ$2)&gt;=N($G$2),N(AJ$2)&lt;=N($E70)),AJ$2,"")</f>
        <v/>
      </c>
      <c r="AK70" s="25">
        <f>IF(AND(ISNUMBER($E70),N(AK$2)&gt;=N($G$2),N(AK$2)&lt;=N($E70)),AK$2,"")</f>
        <v/>
      </c>
      <c r="AL70" s="25">
        <f>IF(AND(ISNUMBER($E70),N(AL$2)&gt;=N($G$2),N(AL$2)&lt;=N($E70)),AL$2,"")</f>
        <v/>
      </c>
      <c r="AM70" s="25">
        <f>IF(AND(ISNUMBER($E70),N(AM$2)&gt;=N($G$2),N(AM$2)&lt;=N($E70)),AM$2,"")</f>
        <v/>
      </c>
      <c r="AN70" s="25">
        <f>IF(AND(ISNUMBER($E70),N(AN$2)&gt;=N($G$2),N(AN$2)&lt;=N($E70)),AN$2,"")</f>
        <v/>
      </c>
      <c r="AO70" s="25">
        <f>IF(AND(ISNUMBER($E70),N(AO$2)&gt;=N($G$2),N(AO$2)&lt;=N($E70)),AO$2,"")</f>
        <v/>
      </c>
      <c r="AP70" s="25">
        <f>IF(AND(ISNUMBER($E70),N(AP$2)&gt;=N($G$2),N(AP$2)&lt;=N($E70)),AP$2,"")</f>
        <v/>
      </c>
      <c r="AQ70" s="25">
        <f>IF(AND(ISNUMBER($E70),N(AQ$2)&gt;=N($G$2),N(AQ$2)&lt;=N($E70)),AQ$2,"")</f>
        <v/>
      </c>
      <c r="AR70" s="25">
        <f>IF(AND(ISNUMBER($E70),N(AR$2)&gt;=N($G$2),N(AR$2)&lt;=N($E70)),AR$2,"")</f>
        <v/>
      </c>
      <c r="AS70" s="25">
        <f>IF(AND(ISNUMBER($E70),N(AS$2)&gt;=N($G$2),N(AS$2)&lt;=N($E70)),AS$2,"")</f>
        <v/>
      </c>
      <c r="AT70" s="25">
        <f>IF(AND(ISNUMBER($E70),N(AT$2)&gt;=N($G$2),N(AT$2)&lt;=N($E70)),AT$2,"")</f>
        <v/>
      </c>
      <c r="AU70" s="25">
        <f>IF(AND(ISNUMBER($E70),N(AU$2)&gt;=N($G$2),N(AU$2)&lt;=N($E70)),AU$2,"")</f>
        <v/>
      </c>
      <c r="AV70" s="25">
        <f>IF(AND(ISNUMBER($E70),N(AV$2)&gt;=N($G$2),N(AV$2)&lt;=N($E70)),AV$2,"")</f>
        <v/>
      </c>
      <c r="AW70" s="25">
        <f>IF(AND(ISNUMBER($E70),N(AW$2)&gt;=N($G$2),N(AW$2)&lt;=N($E70)),AW$2,"")</f>
        <v/>
      </c>
      <c r="AX70" s="25">
        <f>IF(AND(ISNUMBER($E70),N(AX$2)&gt;=N($G$2),N(AX$2)&lt;=N($E70)),AX$2,"")</f>
        <v/>
      </c>
      <c r="AY70" s="25">
        <f>IF(AND(ISNUMBER($E70),N(AY$2)&gt;=N($G$2),N(AY$2)&lt;=N($E70)),AY$2,"")</f>
        <v/>
      </c>
      <c r="AZ70" s="25">
        <f>IF(AND(ISNUMBER($E70),N(AZ$2)&gt;=N($G$2),N(AZ$2)&lt;=N($E70)),AZ$2,"")</f>
        <v/>
      </c>
      <c r="BA70" s="25">
        <f>IF(AND(ISNUMBER($E70),N(BA$2)&gt;=N($G$2),N(BA$2)&lt;=N($E70)),BA$2,"")</f>
        <v/>
      </c>
      <c r="BB70" s="25">
        <f>IF(AND(ISNUMBER($E70),N(BB$2)&gt;=N($G$2),N(BB$2)&lt;=N($E70)),BB$2,"")</f>
        <v/>
      </c>
      <c r="BC70" s="25">
        <f>IF(AND(ISNUMBER($E70),N(BC$2)&gt;=N($G$2),N(BC$2)&lt;=N($E70)),BC$2,"")</f>
        <v/>
      </c>
      <c r="BD70" s="25">
        <f>IF(AND(ISNUMBER($E70),N(BD$2)&gt;=N($G$2),N(BD$2)&lt;=N($E70)),BD$2,"")</f>
        <v/>
      </c>
      <c r="BE70" s="25">
        <f>IF(AND(ISNUMBER($E70),N(BE$2)&gt;=N($G$2),N(BE$2)&lt;=N($E70)),BE$2,"")</f>
        <v/>
      </c>
      <c r="BF70" s="25">
        <f>IF(AND(ISNUMBER($E70),N(BF$2)&gt;=N($G$2),N(BF$2)&lt;=N($E70)),BF$2,"")</f>
        <v/>
      </c>
      <c r="BG70" s="25">
        <f>IF(AND(ISNUMBER($E70),N(BG$2)&gt;=N($G$2),N(BG$2)&lt;=N($E70)),BG$2,"")</f>
        <v/>
      </c>
      <c r="BH70" s="25">
        <f>IF(AND(ISNUMBER($E70),N(BH$2)&gt;=N($G$2),N(BH$2)&lt;=N($E70)),BH$2,"")</f>
        <v/>
      </c>
      <c r="BI70" s="25">
        <f>IF(AND(ISNUMBER($E70),N(BI$2)&gt;=N($G$2),N(BI$2)&lt;=N($E70)),BI$2,"")</f>
        <v/>
      </c>
      <c r="BJ70" s="25">
        <f>IF(AND(ISNUMBER($E70),N(BJ$2)&gt;=N($G$2),N(BJ$2)&lt;=N($E70)),BJ$2,"")</f>
        <v/>
      </c>
      <c r="BK70" s="25">
        <f>IF(AND(ISNUMBER($E70),N(BK$2)&gt;=N($G$2),N(BK$2)&lt;=N($E70)),BK$2,"")</f>
        <v/>
      </c>
      <c r="BL70" s="25">
        <f>IF(AND(ISNUMBER($E70),N(BL$2)&gt;=N($G$2),N(BL$2)&lt;=N($E70)),BL$2,"")</f>
        <v/>
      </c>
      <c r="BM70" s="25">
        <f>IF(AND(ISNUMBER($E70),N(BM$2)&gt;=N($G$2),N(BM$2)&lt;=N($E70)),BM$2,"")</f>
        <v/>
      </c>
      <c r="BN70" s="25">
        <f>IF(AND(ISNUMBER($E70),N(BN$2)&gt;=N($G$2),N(BN$2)&lt;=N($E70)),BN$2,"")</f>
        <v/>
      </c>
      <c r="BO70" s="25">
        <f>IF(AND(ISNUMBER($E70),N(BO$2)&gt;=N($G$2),N(BO$2)&lt;=N($E70)),BO$2,"")</f>
        <v/>
      </c>
    </row>
    <row r="71" ht="20" customHeight="1">
      <c r="A71" s="21" t="inlineStr">
        <is>
          <t>预估</t>
        </is>
      </c>
      <c r="B71" s="21" t="inlineStr">
        <is>
          <t>第二期</t>
        </is>
      </c>
      <c r="C71" s="22" t="inlineStr">
        <is>
          <t>PAB180·工装实物到位</t>
        </is>
      </c>
      <c r="D71" s="23">
        <f>'时间节点计划表'!E36</f>
        <v/>
      </c>
      <c r="E71" s="23">
        <f>IF(COUNT('时间节点计划表'!F36),'时间节点计划表'!F36,"")</f>
        <v/>
      </c>
      <c r="F71" s="24" t="inlineStr"/>
      <c r="G71" s="25">
        <f>IF(AND(ISNUMBER($D71),N(G$2)&gt;=N($G$2),N(G$2)&lt;=N($D71)),G$2,"")</f>
        <v/>
      </c>
      <c r="H71" s="25">
        <f>IF(AND(ISNUMBER($D71),N(H$2)&gt;=N($G$2),N(H$2)&lt;=N($D71)),H$2,"")</f>
        <v/>
      </c>
      <c r="I71" s="25">
        <f>IF(AND(ISNUMBER($D71),N(I$2)&gt;=N($G$2),N(I$2)&lt;=N($D71)),I$2,"")</f>
        <v/>
      </c>
      <c r="J71" s="25">
        <f>IF(AND(ISNUMBER($D71),N(J$2)&gt;=N($G$2),N(J$2)&lt;=N($D71)),J$2,"")</f>
        <v/>
      </c>
      <c r="K71" s="25">
        <f>IF(AND(ISNUMBER($D71),N(K$2)&gt;=N($G$2),N(K$2)&lt;=N($D71)),K$2,"")</f>
        <v/>
      </c>
      <c r="L71" s="25">
        <f>IF(AND(ISNUMBER($D71),N(L$2)&gt;=N($G$2),N(L$2)&lt;=N($D71)),L$2,"")</f>
        <v/>
      </c>
      <c r="M71" s="25">
        <f>IF(AND(ISNUMBER($D71),N(M$2)&gt;=N($G$2),N(M$2)&lt;=N($D71)),M$2,"")</f>
        <v/>
      </c>
      <c r="N71" s="25">
        <f>IF(AND(ISNUMBER($D71),N(N$2)&gt;=N($G$2),N(N$2)&lt;=N($D71)),N$2,"")</f>
        <v/>
      </c>
      <c r="O71" s="25">
        <f>IF(AND(ISNUMBER($D71),N(O$2)&gt;=N($G$2),N(O$2)&lt;=N($D71)),O$2,"")</f>
        <v/>
      </c>
      <c r="P71" s="25">
        <f>IF(AND(ISNUMBER($D71),N(P$2)&gt;=N($G$2),N(P$2)&lt;=N($D71)),P$2,"")</f>
        <v/>
      </c>
      <c r="Q71" s="25">
        <f>IF(AND(ISNUMBER($D71),N(Q$2)&gt;=N($G$2),N(Q$2)&lt;=N($D71)),Q$2,"")</f>
        <v/>
      </c>
      <c r="R71" s="25">
        <f>IF(AND(ISNUMBER($D71),N(R$2)&gt;=N($G$2),N(R$2)&lt;=N($D71)),R$2,"")</f>
        <v/>
      </c>
      <c r="S71" s="25">
        <f>IF(AND(ISNUMBER($D71),N(S$2)&gt;=N($G$2),N(S$2)&lt;=N($D71)),S$2,"")</f>
        <v/>
      </c>
      <c r="T71" s="25">
        <f>IF(AND(ISNUMBER($D71),N(T$2)&gt;=N($G$2),N(T$2)&lt;=N($D71)),T$2,"")</f>
        <v/>
      </c>
      <c r="U71" s="25">
        <f>IF(AND(ISNUMBER($D71),N(U$2)&gt;=N($G$2),N(U$2)&lt;=N($D71)),U$2,"")</f>
        <v/>
      </c>
      <c r="V71" s="25">
        <f>IF(AND(ISNUMBER($D71),N(V$2)&gt;=N($G$2),N(V$2)&lt;=N($D71)),V$2,"")</f>
        <v/>
      </c>
      <c r="W71" s="25">
        <f>IF(AND(ISNUMBER($D71),N(W$2)&gt;=N($G$2),N(W$2)&lt;=N($D71)),W$2,"")</f>
        <v/>
      </c>
      <c r="X71" s="25">
        <f>IF(AND(ISNUMBER($D71),N(X$2)&gt;=N($G$2),N(X$2)&lt;=N($D71)),X$2,"")</f>
        <v/>
      </c>
      <c r="Y71" s="25">
        <f>IF(AND(ISNUMBER($D71),N(Y$2)&gt;=N($G$2),N(Y$2)&lt;=N($D71)),Y$2,"")</f>
        <v/>
      </c>
      <c r="Z71" s="25">
        <f>IF(AND(ISNUMBER($D71),N(Z$2)&gt;=N($G$2),N(Z$2)&lt;=N($D71)),Z$2,"")</f>
        <v/>
      </c>
      <c r="AA71" s="25">
        <f>IF(AND(ISNUMBER($D71),N(AA$2)&gt;=N($G$2),N(AA$2)&lt;=N($D71)),AA$2,"")</f>
        <v/>
      </c>
      <c r="AB71" s="25">
        <f>IF(AND(ISNUMBER($D71),N(AB$2)&gt;=N($G$2),N(AB$2)&lt;=N($D71)),AB$2,"")</f>
        <v/>
      </c>
      <c r="AC71" s="25">
        <f>IF(AND(ISNUMBER($D71),N(AC$2)&gt;=N($G$2),N(AC$2)&lt;=N($D71)),AC$2,"")</f>
        <v/>
      </c>
      <c r="AD71" s="25">
        <f>IF(AND(ISNUMBER($D71),N(AD$2)&gt;=N($G$2),N(AD$2)&lt;=N($D71)),AD$2,"")</f>
        <v/>
      </c>
      <c r="AE71" s="25">
        <f>IF(AND(ISNUMBER($D71),N(AE$2)&gt;=N($G$2),N(AE$2)&lt;=N($D71)),AE$2,"")</f>
        <v/>
      </c>
      <c r="AF71" s="25">
        <f>IF(AND(ISNUMBER($D71),N(AF$2)&gt;=N($G$2),N(AF$2)&lt;=N($D71)),AF$2,"")</f>
        <v/>
      </c>
      <c r="AG71" s="25">
        <f>IF(AND(ISNUMBER($D71),N(AG$2)&gt;=N($G$2),N(AG$2)&lt;=N($D71)),AG$2,"")</f>
        <v/>
      </c>
      <c r="AH71" s="25">
        <f>IF(AND(ISNUMBER($D71),N(AH$2)&gt;=N($G$2),N(AH$2)&lt;=N($D71)),AH$2,"")</f>
        <v/>
      </c>
      <c r="AI71" s="25">
        <f>IF(AND(ISNUMBER($D71),N(AI$2)&gt;=N($G$2),N(AI$2)&lt;=N($D71)),AI$2,"")</f>
        <v/>
      </c>
      <c r="AJ71" s="25">
        <f>IF(AND(ISNUMBER($D71),N(AJ$2)&gt;=N($G$2),N(AJ$2)&lt;=N($D71)),AJ$2,"")</f>
        <v/>
      </c>
      <c r="AK71" s="25">
        <f>IF(AND(ISNUMBER($D71),N(AK$2)&gt;=N($G$2),N(AK$2)&lt;=N($D71)),AK$2,"")</f>
        <v/>
      </c>
      <c r="AL71" s="25">
        <f>IF(AND(ISNUMBER($D71),N(AL$2)&gt;=N($G$2),N(AL$2)&lt;=N($D71)),AL$2,"")</f>
        <v/>
      </c>
      <c r="AM71" s="25">
        <f>IF(AND(ISNUMBER($D71),N(AM$2)&gt;=N($G$2),N(AM$2)&lt;=N($D71)),AM$2,"")</f>
        <v/>
      </c>
      <c r="AN71" s="25">
        <f>IF(AND(ISNUMBER($D71),N(AN$2)&gt;=N($G$2),N(AN$2)&lt;=N($D71)),AN$2,"")</f>
        <v/>
      </c>
      <c r="AO71" s="25">
        <f>IF(AND(ISNUMBER($D71),N(AO$2)&gt;=N($G$2),N(AO$2)&lt;=N($D71)),AO$2,"")</f>
        <v/>
      </c>
      <c r="AP71" s="25">
        <f>IF(AND(ISNUMBER($D71),N(AP$2)&gt;=N($G$2),N(AP$2)&lt;=N($D71)),AP$2,"")</f>
        <v/>
      </c>
      <c r="AQ71" s="25">
        <f>IF(AND(ISNUMBER($D71),N(AQ$2)&gt;=N($G$2),N(AQ$2)&lt;=N($D71)),AQ$2,"")</f>
        <v/>
      </c>
      <c r="AR71" s="25">
        <f>IF(AND(ISNUMBER($D71),N(AR$2)&gt;=N($G$2),N(AR$2)&lt;=N($D71)),AR$2,"")</f>
        <v/>
      </c>
      <c r="AS71" s="25">
        <f>IF(AND(ISNUMBER($D71),N(AS$2)&gt;=N($G$2),N(AS$2)&lt;=N($D71)),AS$2,"")</f>
        <v/>
      </c>
      <c r="AT71" s="25">
        <f>IF(AND(ISNUMBER($D71),N(AT$2)&gt;=N($G$2),N(AT$2)&lt;=N($D71)),AT$2,"")</f>
        <v/>
      </c>
      <c r="AU71" s="25">
        <f>IF(AND(ISNUMBER($D71),N(AU$2)&gt;=N($G$2),N(AU$2)&lt;=N($D71)),AU$2,"")</f>
        <v/>
      </c>
      <c r="AV71" s="25">
        <f>IF(AND(ISNUMBER($D71),N(AV$2)&gt;=N($G$2),N(AV$2)&lt;=N($D71)),AV$2,"")</f>
        <v/>
      </c>
      <c r="AW71" s="25">
        <f>IF(AND(ISNUMBER($D71),N(AW$2)&gt;=N($G$2),N(AW$2)&lt;=N($D71)),AW$2,"")</f>
        <v/>
      </c>
      <c r="AX71" s="25">
        <f>IF(AND(ISNUMBER($D71),N(AX$2)&gt;=N($G$2),N(AX$2)&lt;=N($D71)),AX$2,"")</f>
        <v/>
      </c>
      <c r="AY71" s="25">
        <f>IF(AND(ISNUMBER($D71),N(AY$2)&gt;=N($G$2),N(AY$2)&lt;=N($D71)),AY$2,"")</f>
        <v/>
      </c>
      <c r="AZ71" s="25">
        <f>IF(AND(ISNUMBER($D71),N(AZ$2)&gt;=N($G$2),N(AZ$2)&lt;=N($D71)),AZ$2,"")</f>
        <v/>
      </c>
      <c r="BA71" s="25">
        <f>IF(AND(ISNUMBER($D71),N(BA$2)&gt;=N($G$2),N(BA$2)&lt;=N($D71)),BA$2,"")</f>
        <v/>
      </c>
      <c r="BB71" s="25">
        <f>IF(AND(ISNUMBER($D71),N(BB$2)&gt;=N($G$2),N(BB$2)&lt;=N($D71)),BB$2,"")</f>
        <v/>
      </c>
      <c r="BC71" s="25">
        <f>IF(AND(ISNUMBER($D71),N(BC$2)&gt;=N($G$2),N(BC$2)&lt;=N($D71)),BC$2,"")</f>
        <v/>
      </c>
      <c r="BD71" s="25">
        <f>IF(AND(ISNUMBER($D71),N(BD$2)&gt;=N($G$2),N(BD$2)&lt;=N($D71)),BD$2,"")</f>
        <v/>
      </c>
      <c r="BE71" s="25">
        <f>IF(AND(ISNUMBER($D71),N(BE$2)&gt;=N($G$2),N(BE$2)&lt;=N($D71)),BE$2,"")</f>
        <v/>
      </c>
      <c r="BF71" s="25">
        <f>IF(AND(ISNUMBER($D71),N(BF$2)&gt;=N($G$2),N(BF$2)&lt;=N($D71)),BF$2,"")</f>
        <v/>
      </c>
      <c r="BG71" s="25">
        <f>IF(AND(ISNUMBER($D71),N(BG$2)&gt;=N($G$2),N(BG$2)&lt;=N($D71)),BG$2,"")</f>
        <v/>
      </c>
      <c r="BH71" s="25">
        <f>IF(AND(ISNUMBER($D71),N(BH$2)&gt;=N($G$2),N(BH$2)&lt;=N($D71)),BH$2,"")</f>
        <v/>
      </c>
      <c r="BI71" s="25">
        <f>IF(AND(ISNUMBER($D71),N(BI$2)&gt;=N($G$2),N(BI$2)&lt;=N($D71)),BI$2,"")</f>
        <v/>
      </c>
      <c r="BJ71" s="25">
        <f>IF(AND(ISNUMBER($D71),N(BJ$2)&gt;=N($G$2),N(BJ$2)&lt;=N($D71)),BJ$2,"")</f>
        <v/>
      </c>
      <c r="BK71" s="25">
        <f>IF(AND(ISNUMBER($D71),N(BK$2)&gt;=N($G$2),N(BK$2)&lt;=N($D71)),BK$2,"")</f>
        <v/>
      </c>
      <c r="BL71" s="25">
        <f>IF(AND(ISNUMBER($D71),N(BL$2)&gt;=N($G$2),N(BL$2)&lt;=N($D71)),BL$2,"")</f>
        <v/>
      </c>
      <c r="BM71" s="25">
        <f>IF(AND(ISNUMBER($D71),N(BM$2)&gt;=N($G$2),N(BM$2)&lt;=N($D71)),BM$2,"")</f>
        <v/>
      </c>
      <c r="BN71" s="25">
        <f>IF(AND(ISNUMBER($D71),N(BN$2)&gt;=N($G$2),N(BN$2)&lt;=N($D71)),BN$2,"")</f>
        <v/>
      </c>
      <c r="BO71" s="25">
        <f>IF(AND(ISNUMBER($D71),N(BO$2)&gt;=N($G$2),N(BO$2)&lt;=N($D71)),BO$2,"")</f>
        <v/>
      </c>
    </row>
    <row r="72" ht="20" customHeight="1">
      <c r="A72" s="26" t="inlineStr">
        <is>
          <t>实际</t>
        </is>
      </c>
      <c r="B72" s="26" t="inlineStr">
        <is>
          <t>第二期</t>
        </is>
      </c>
      <c r="C72" s="27" t="inlineStr">
        <is>
          <t>PAB180·工装实物到位</t>
        </is>
      </c>
      <c r="D72" s="28">
        <f>'时间节点计划表'!E36</f>
        <v/>
      </c>
      <c r="E72" s="28">
        <f>IF(COUNT('时间节点计划表'!F36),'时间节点计划表'!F36,"")</f>
        <v/>
      </c>
      <c r="F72" s="29">
        <f>IF(OR(D72="",E72=""),"待填",E72-D72)</f>
        <v/>
      </c>
      <c r="G72" s="25">
        <f>IF(AND(ISNUMBER($E72),N(G$2)&gt;=N($G$2),N(G$2)&lt;=N($E72)),G$2,"")</f>
        <v/>
      </c>
      <c r="H72" s="25">
        <f>IF(AND(ISNUMBER($E72),N(H$2)&gt;=N($G$2),N(H$2)&lt;=N($E72)),H$2,"")</f>
        <v/>
      </c>
      <c r="I72" s="25">
        <f>IF(AND(ISNUMBER($E72),N(I$2)&gt;=N($G$2),N(I$2)&lt;=N($E72)),I$2,"")</f>
        <v/>
      </c>
      <c r="J72" s="25">
        <f>IF(AND(ISNUMBER($E72),N(J$2)&gt;=N($G$2),N(J$2)&lt;=N($E72)),J$2,"")</f>
        <v/>
      </c>
      <c r="K72" s="25">
        <f>IF(AND(ISNUMBER($E72),N(K$2)&gt;=N($G$2),N(K$2)&lt;=N($E72)),K$2,"")</f>
        <v/>
      </c>
      <c r="L72" s="25">
        <f>IF(AND(ISNUMBER($E72),N(L$2)&gt;=N($G$2),N(L$2)&lt;=N($E72)),L$2,"")</f>
        <v/>
      </c>
      <c r="M72" s="25">
        <f>IF(AND(ISNUMBER($E72),N(M$2)&gt;=N($G$2),N(M$2)&lt;=N($E72)),M$2,"")</f>
        <v/>
      </c>
      <c r="N72" s="25">
        <f>IF(AND(ISNUMBER($E72),N(N$2)&gt;=N($G$2),N(N$2)&lt;=N($E72)),N$2,"")</f>
        <v/>
      </c>
      <c r="O72" s="25">
        <f>IF(AND(ISNUMBER($E72),N(O$2)&gt;=N($G$2),N(O$2)&lt;=N($E72)),O$2,"")</f>
        <v/>
      </c>
      <c r="P72" s="25">
        <f>IF(AND(ISNUMBER($E72),N(P$2)&gt;=N($G$2),N(P$2)&lt;=N($E72)),P$2,"")</f>
        <v/>
      </c>
      <c r="Q72" s="25">
        <f>IF(AND(ISNUMBER($E72),N(Q$2)&gt;=N($G$2),N(Q$2)&lt;=N($E72)),Q$2,"")</f>
        <v/>
      </c>
      <c r="R72" s="25">
        <f>IF(AND(ISNUMBER($E72),N(R$2)&gt;=N($G$2),N(R$2)&lt;=N($E72)),R$2,"")</f>
        <v/>
      </c>
      <c r="S72" s="25">
        <f>IF(AND(ISNUMBER($E72),N(S$2)&gt;=N($G$2),N(S$2)&lt;=N($E72)),S$2,"")</f>
        <v/>
      </c>
      <c r="T72" s="25">
        <f>IF(AND(ISNUMBER($E72),N(T$2)&gt;=N($G$2),N(T$2)&lt;=N($E72)),T$2,"")</f>
        <v/>
      </c>
      <c r="U72" s="25">
        <f>IF(AND(ISNUMBER($E72),N(U$2)&gt;=N($G$2),N(U$2)&lt;=N($E72)),U$2,"")</f>
        <v/>
      </c>
      <c r="V72" s="25">
        <f>IF(AND(ISNUMBER($E72),N(V$2)&gt;=N($G$2),N(V$2)&lt;=N($E72)),V$2,"")</f>
        <v/>
      </c>
      <c r="W72" s="25">
        <f>IF(AND(ISNUMBER($E72),N(W$2)&gt;=N($G$2),N(W$2)&lt;=N($E72)),W$2,"")</f>
        <v/>
      </c>
      <c r="X72" s="25">
        <f>IF(AND(ISNUMBER($E72),N(X$2)&gt;=N($G$2),N(X$2)&lt;=N($E72)),X$2,"")</f>
        <v/>
      </c>
      <c r="Y72" s="25">
        <f>IF(AND(ISNUMBER($E72),N(Y$2)&gt;=N($G$2),N(Y$2)&lt;=N($E72)),Y$2,"")</f>
        <v/>
      </c>
      <c r="Z72" s="25">
        <f>IF(AND(ISNUMBER($E72),N(Z$2)&gt;=N($G$2),N(Z$2)&lt;=N($E72)),Z$2,"")</f>
        <v/>
      </c>
      <c r="AA72" s="25">
        <f>IF(AND(ISNUMBER($E72),N(AA$2)&gt;=N($G$2),N(AA$2)&lt;=N($E72)),AA$2,"")</f>
        <v/>
      </c>
      <c r="AB72" s="25">
        <f>IF(AND(ISNUMBER($E72),N(AB$2)&gt;=N($G$2),N(AB$2)&lt;=N($E72)),AB$2,"")</f>
        <v/>
      </c>
      <c r="AC72" s="25">
        <f>IF(AND(ISNUMBER($E72),N(AC$2)&gt;=N($G$2),N(AC$2)&lt;=N($E72)),AC$2,"")</f>
        <v/>
      </c>
      <c r="AD72" s="25">
        <f>IF(AND(ISNUMBER($E72),N(AD$2)&gt;=N($G$2),N(AD$2)&lt;=N($E72)),AD$2,"")</f>
        <v/>
      </c>
      <c r="AE72" s="25">
        <f>IF(AND(ISNUMBER($E72),N(AE$2)&gt;=N($G$2),N(AE$2)&lt;=N($E72)),AE$2,"")</f>
        <v/>
      </c>
      <c r="AF72" s="25">
        <f>IF(AND(ISNUMBER($E72),N(AF$2)&gt;=N($G$2),N(AF$2)&lt;=N($E72)),AF$2,"")</f>
        <v/>
      </c>
      <c r="AG72" s="25">
        <f>IF(AND(ISNUMBER($E72),N(AG$2)&gt;=N($G$2),N(AG$2)&lt;=N($E72)),AG$2,"")</f>
        <v/>
      </c>
      <c r="AH72" s="25">
        <f>IF(AND(ISNUMBER($E72),N(AH$2)&gt;=N($G$2),N(AH$2)&lt;=N($E72)),AH$2,"")</f>
        <v/>
      </c>
      <c r="AI72" s="25">
        <f>IF(AND(ISNUMBER($E72),N(AI$2)&gt;=N($G$2),N(AI$2)&lt;=N($E72)),AI$2,"")</f>
        <v/>
      </c>
      <c r="AJ72" s="25">
        <f>IF(AND(ISNUMBER($E72),N(AJ$2)&gt;=N($G$2),N(AJ$2)&lt;=N($E72)),AJ$2,"")</f>
        <v/>
      </c>
      <c r="AK72" s="25">
        <f>IF(AND(ISNUMBER($E72),N(AK$2)&gt;=N($G$2),N(AK$2)&lt;=N($E72)),AK$2,"")</f>
        <v/>
      </c>
      <c r="AL72" s="25">
        <f>IF(AND(ISNUMBER($E72),N(AL$2)&gt;=N($G$2),N(AL$2)&lt;=N($E72)),AL$2,"")</f>
        <v/>
      </c>
      <c r="AM72" s="25">
        <f>IF(AND(ISNUMBER($E72),N(AM$2)&gt;=N($G$2),N(AM$2)&lt;=N($E72)),AM$2,"")</f>
        <v/>
      </c>
      <c r="AN72" s="25">
        <f>IF(AND(ISNUMBER($E72),N(AN$2)&gt;=N($G$2),N(AN$2)&lt;=N($E72)),AN$2,"")</f>
        <v/>
      </c>
      <c r="AO72" s="25">
        <f>IF(AND(ISNUMBER($E72),N(AO$2)&gt;=N($G$2),N(AO$2)&lt;=N($E72)),AO$2,"")</f>
        <v/>
      </c>
      <c r="AP72" s="25">
        <f>IF(AND(ISNUMBER($E72),N(AP$2)&gt;=N($G$2),N(AP$2)&lt;=N($E72)),AP$2,"")</f>
        <v/>
      </c>
      <c r="AQ72" s="25">
        <f>IF(AND(ISNUMBER($E72),N(AQ$2)&gt;=N($G$2),N(AQ$2)&lt;=N($E72)),AQ$2,"")</f>
        <v/>
      </c>
      <c r="AR72" s="25">
        <f>IF(AND(ISNUMBER($E72),N(AR$2)&gt;=N($G$2),N(AR$2)&lt;=N($E72)),AR$2,"")</f>
        <v/>
      </c>
      <c r="AS72" s="25">
        <f>IF(AND(ISNUMBER($E72),N(AS$2)&gt;=N($G$2),N(AS$2)&lt;=N($E72)),AS$2,"")</f>
        <v/>
      </c>
      <c r="AT72" s="25">
        <f>IF(AND(ISNUMBER($E72),N(AT$2)&gt;=N($G$2),N(AT$2)&lt;=N($E72)),AT$2,"")</f>
        <v/>
      </c>
      <c r="AU72" s="25">
        <f>IF(AND(ISNUMBER($E72),N(AU$2)&gt;=N($G$2),N(AU$2)&lt;=N($E72)),AU$2,"")</f>
        <v/>
      </c>
      <c r="AV72" s="25">
        <f>IF(AND(ISNUMBER($E72),N(AV$2)&gt;=N($G$2),N(AV$2)&lt;=N($E72)),AV$2,"")</f>
        <v/>
      </c>
      <c r="AW72" s="25">
        <f>IF(AND(ISNUMBER($E72),N(AW$2)&gt;=N($G$2),N(AW$2)&lt;=N($E72)),AW$2,"")</f>
        <v/>
      </c>
      <c r="AX72" s="25">
        <f>IF(AND(ISNUMBER($E72),N(AX$2)&gt;=N($G$2),N(AX$2)&lt;=N($E72)),AX$2,"")</f>
        <v/>
      </c>
      <c r="AY72" s="25">
        <f>IF(AND(ISNUMBER($E72),N(AY$2)&gt;=N($G$2),N(AY$2)&lt;=N($E72)),AY$2,"")</f>
        <v/>
      </c>
      <c r="AZ72" s="25">
        <f>IF(AND(ISNUMBER($E72),N(AZ$2)&gt;=N($G$2),N(AZ$2)&lt;=N($E72)),AZ$2,"")</f>
        <v/>
      </c>
      <c r="BA72" s="25">
        <f>IF(AND(ISNUMBER($E72),N(BA$2)&gt;=N($G$2),N(BA$2)&lt;=N($E72)),BA$2,"")</f>
        <v/>
      </c>
      <c r="BB72" s="25">
        <f>IF(AND(ISNUMBER($E72),N(BB$2)&gt;=N($G$2),N(BB$2)&lt;=N($E72)),BB$2,"")</f>
        <v/>
      </c>
      <c r="BC72" s="25">
        <f>IF(AND(ISNUMBER($E72),N(BC$2)&gt;=N($G$2),N(BC$2)&lt;=N($E72)),BC$2,"")</f>
        <v/>
      </c>
      <c r="BD72" s="25">
        <f>IF(AND(ISNUMBER($E72),N(BD$2)&gt;=N($G$2),N(BD$2)&lt;=N($E72)),BD$2,"")</f>
        <v/>
      </c>
      <c r="BE72" s="25">
        <f>IF(AND(ISNUMBER($E72),N(BE$2)&gt;=N($G$2),N(BE$2)&lt;=N($E72)),BE$2,"")</f>
        <v/>
      </c>
      <c r="BF72" s="25">
        <f>IF(AND(ISNUMBER($E72),N(BF$2)&gt;=N($G$2),N(BF$2)&lt;=N($E72)),BF$2,"")</f>
        <v/>
      </c>
      <c r="BG72" s="25">
        <f>IF(AND(ISNUMBER($E72),N(BG$2)&gt;=N($G$2),N(BG$2)&lt;=N($E72)),BG$2,"")</f>
        <v/>
      </c>
      <c r="BH72" s="25">
        <f>IF(AND(ISNUMBER($E72),N(BH$2)&gt;=N($G$2),N(BH$2)&lt;=N($E72)),BH$2,"")</f>
        <v/>
      </c>
      <c r="BI72" s="25">
        <f>IF(AND(ISNUMBER($E72),N(BI$2)&gt;=N($G$2),N(BI$2)&lt;=N($E72)),BI$2,"")</f>
        <v/>
      </c>
      <c r="BJ72" s="25">
        <f>IF(AND(ISNUMBER($E72),N(BJ$2)&gt;=N($G$2),N(BJ$2)&lt;=N($E72)),BJ$2,"")</f>
        <v/>
      </c>
      <c r="BK72" s="25">
        <f>IF(AND(ISNUMBER($E72),N(BK$2)&gt;=N($G$2),N(BK$2)&lt;=N($E72)),BK$2,"")</f>
        <v/>
      </c>
      <c r="BL72" s="25">
        <f>IF(AND(ISNUMBER($E72),N(BL$2)&gt;=N($G$2),N(BL$2)&lt;=N($E72)),BL$2,"")</f>
        <v/>
      </c>
      <c r="BM72" s="25">
        <f>IF(AND(ISNUMBER($E72),N(BM$2)&gt;=N($G$2),N(BM$2)&lt;=N($E72)),BM$2,"")</f>
        <v/>
      </c>
      <c r="BN72" s="25">
        <f>IF(AND(ISNUMBER($E72),N(BN$2)&gt;=N($G$2),N(BN$2)&lt;=N($E72)),BN$2,"")</f>
        <v/>
      </c>
      <c r="BO72" s="25">
        <f>IF(AND(ISNUMBER($E72),N(BO$2)&gt;=N($G$2),N(BO$2)&lt;=N($E72)),BO$2,"")</f>
        <v/>
      </c>
    </row>
    <row r="73" ht="20" customHeight="1">
      <c r="A73" s="21" t="inlineStr">
        <is>
          <t>预估</t>
        </is>
      </c>
      <c r="B73" s="21" t="inlineStr">
        <is>
          <t>第二期</t>
        </is>
      </c>
      <c r="C73" s="22" t="inlineStr">
        <is>
          <t>PAB180·排针机安装调试</t>
        </is>
      </c>
      <c r="D73" s="23">
        <f>'时间节点计划表'!E37</f>
        <v/>
      </c>
      <c r="E73" s="23">
        <f>IF(COUNT('时间节点计划表'!F37),'时间节点计划表'!F37,"")</f>
        <v/>
      </c>
      <c r="F73" s="24" t="inlineStr"/>
      <c r="G73" s="25">
        <f>IF(AND(ISNUMBER($D73),N(G$2)&gt;=N($G$2),N(G$2)&lt;=N($D73)),G$2,"")</f>
        <v/>
      </c>
      <c r="H73" s="25">
        <f>IF(AND(ISNUMBER($D73),N(H$2)&gt;=N($G$2),N(H$2)&lt;=N($D73)),H$2,"")</f>
        <v/>
      </c>
      <c r="I73" s="25">
        <f>IF(AND(ISNUMBER($D73),N(I$2)&gt;=N($G$2),N(I$2)&lt;=N($D73)),I$2,"")</f>
        <v/>
      </c>
      <c r="J73" s="25">
        <f>IF(AND(ISNUMBER($D73),N(J$2)&gt;=N($G$2),N(J$2)&lt;=N($D73)),J$2,"")</f>
        <v/>
      </c>
      <c r="K73" s="25">
        <f>IF(AND(ISNUMBER($D73),N(K$2)&gt;=N($G$2),N(K$2)&lt;=N($D73)),K$2,"")</f>
        <v/>
      </c>
      <c r="L73" s="25">
        <f>IF(AND(ISNUMBER($D73),N(L$2)&gt;=N($G$2),N(L$2)&lt;=N($D73)),L$2,"")</f>
        <v/>
      </c>
      <c r="M73" s="25">
        <f>IF(AND(ISNUMBER($D73),N(M$2)&gt;=N($G$2),N(M$2)&lt;=N($D73)),M$2,"")</f>
        <v/>
      </c>
      <c r="N73" s="25">
        <f>IF(AND(ISNUMBER($D73),N(N$2)&gt;=N($G$2),N(N$2)&lt;=N($D73)),N$2,"")</f>
        <v/>
      </c>
      <c r="O73" s="25">
        <f>IF(AND(ISNUMBER($D73),N(O$2)&gt;=N($G$2),N(O$2)&lt;=N($D73)),O$2,"")</f>
        <v/>
      </c>
      <c r="P73" s="25">
        <f>IF(AND(ISNUMBER($D73),N(P$2)&gt;=N($G$2),N(P$2)&lt;=N($D73)),P$2,"")</f>
        <v/>
      </c>
      <c r="Q73" s="25">
        <f>IF(AND(ISNUMBER($D73),N(Q$2)&gt;=N($G$2),N(Q$2)&lt;=N($D73)),Q$2,"")</f>
        <v/>
      </c>
      <c r="R73" s="25">
        <f>IF(AND(ISNUMBER($D73),N(R$2)&gt;=N($G$2),N(R$2)&lt;=N($D73)),R$2,"")</f>
        <v/>
      </c>
      <c r="S73" s="25">
        <f>IF(AND(ISNUMBER($D73),N(S$2)&gt;=N($G$2),N(S$2)&lt;=N($D73)),S$2,"")</f>
        <v/>
      </c>
      <c r="T73" s="25">
        <f>IF(AND(ISNUMBER($D73),N(T$2)&gt;=N($G$2),N(T$2)&lt;=N($D73)),T$2,"")</f>
        <v/>
      </c>
      <c r="U73" s="25">
        <f>IF(AND(ISNUMBER($D73),N(U$2)&gt;=N($G$2),N(U$2)&lt;=N($D73)),U$2,"")</f>
        <v/>
      </c>
      <c r="V73" s="25">
        <f>IF(AND(ISNUMBER($D73),N(V$2)&gt;=N($G$2),N(V$2)&lt;=N($D73)),V$2,"")</f>
        <v/>
      </c>
      <c r="W73" s="25">
        <f>IF(AND(ISNUMBER($D73),N(W$2)&gt;=N($G$2),N(W$2)&lt;=N($D73)),W$2,"")</f>
        <v/>
      </c>
      <c r="X73" s="25">
        <f>IF(AND(ISNUMBER($D73),N(X$2)&gt;=N($G$2),N(X$2)&lt;=N($D73)),X$2,"")</f>
        <v/>
      </c>
      <c r="Y73" s="25">
        <f>IF(AND(ISNUMBER($D73),N(Y$2)&gt;=N($G$2),N(Y$2)&lt;=N($D73)),Y$2,"")</f>
        <v/>
      </c>
      <c r="Z73" s="25">
        <f>IF(AND(ISNUMBER($D73),N(Z$2)&gt;=N($G$2),N(Z$2)&lt;=N($D73)),Z$2,"")</f>
        <v/>
      </c>
      <c r="AA73" s="25">
        <f>IF(AND(ISNUMBER($D73),N(AA$2)&gt;=N($G$2),N(AA$2)&lt;=N($D73)),AA$2,"")</f>
        <v/>
      </c>
      <c r="AB73" s="25">
        <f>IF(AND(ISNUMBER($D73),N(AB$2)&gt;=N($G$2),N(AB$2)&lt;=N($D73)),AB$2,"")</f>
        <v/>
      </c>
      <c r="AC73" s="25">
        <f>IF(AND(ISNUMBER($D73),N(AC$2)&gt;=N($G$2),N(AC$2)&lt;=N($D73)),AC$2,"")</f>
        <v/>
      </c>
      <c r="AD73" s="25">
        <f>IF(AND(ISNUMBER($D73),N(AD$2)&gt;=N($G$2),N(AD$2)&lt;=N($D73)),AD$2,"")</f>
        <v/>
      </c>
      <c r="AE73" s="25">
        <f>IF(AND(ISNUMBER($D73),N(AE$2)&gt;=N($G$2),N(AE$2)&lt;=N($D73)),AE$2,"")</f>
        <v/>
      </c>
      <c r="AF73" s="25">
        <f>IF(AND(ISNUMBER($D73),N(AF$2)&gt;=N($G$2),N(AF$2)&lt;=N($D73)),AF$2,"")</f>
        <v/>
      </c>
      <c r="AG73" s="25">
        <f>IF(AND(ISNUMBER($D73),N(AG$2)&gt;=N($G$2),N(AG$2)&lt;=N($D73)),AG$2,"")</f>
        <v/>
      </c>
      <c r="AH73" s="25">
        <f>IF(AND(ISNUMBER($D73),N(AH$2)&gt;=N($G$2),N(AH$2)&lt;=N($D73)),AH$2,"")</f>
        <v/>
      </c>
      <c r="AI73" s="25">
        <f>IF(AND(ISNUMBER($D73),N(AI$2)&gt;=N($G$2),N(AI$2)&lt;=N($D73)),AI$2,"")</f>
        <v/>
      </c>
      <c r="AJ73" s="25">
        <f>IF(AND(ISNUMBER($D73),N(AJ$2)&gt;=N($G$2),N(AJ$2)&lt;=N($D73)),AJ$2,"")</f>
        <v/>
      </c>
      <c r="AK73" s="25">
        <f>IF(AND(ISNUMBER($D73),N(AK$2)&gt;=N($G$2),N(AK$2)&lt;=N($D73)),AK$2,"")</f>
        <v/>
      </c>
      <c r="AL73" s="25">
        <f>IF(AND(ISNUMBER($D73),N(AL$2)&gt;=N($G$2),N(AL$2)&lt;=N($D73)),AL$2,"")</f>
        <v/>
      </c>
      <c r="AM73" s="25">
        <f>IF(AND(ISNUMBER($D73),N(AM$2)&gt;=N($G$2),N(AM$2)&lt;=N($D73)),AM$2,"")</f>
        <v/>
      </c>
      <c r="AN73" s="25">
        <f>IF(AND(ISNUMBER($D73),N(AN$2)&gt;=N($G$2),N(AN$2)&lt;=N($D73)),AN$2,"")</f>
        <v/>
      </c>
      <c r="AO73" s="25">
        <f>IF(AND(ISNUMBER($D73),N(AO$2)&gt;=N($G$2),N(AO$2)&lt;=N($D73)),AO$2,"")</f>
        <v/>
      </c>
      <c r="AP73" s="25">
        <f>IF(AND(ISNUMBER($D73),N(AP$2)&gt;=N($G$2),N(AP$2)&lt;=N($D73)),AP$2,"")</f>
        <v/>
      </c>
      <c r="AQ73" s="25">
        <f>IF(AND(ISNUMBER($D73),N(AQ$2)&gt;=N($G$2),N(AQ$2)&lt;=N($D73)),AQ$2,"")</f>
        <v/>
      </c>
      <c r="AR73" s="25">
        <f>IF(AND(ISNUMBER($D73),N(AR$2)&gt;=N($G$2),N(AR$2)&lt;=N($D73)),AR$2,"")</f>
        <v/>
      </c>
      <c r="AS73" s="25">
        <f>IF(AND(ISNUMBER($D73),N(AS$2)&gt;=N($G$2),N(AS$2)&lt;=N($D73)),AS$2,"")</f>
        <v/>
      </c>
      <c r="AT73" s="25">
        <f>IF(AND(ISNUMBER($D73),N(AT$2)&gt;=N($G$2),N(AT$2)&lt;=N($D73)),AT$2,"")</f>
        <v/>
      </c>
      <c r="AU73" s="25">
        <f>IF(AND(ISNUMBER($D73),N(AU$2)&gt;=N($G$2),N(AU$2)&lt;=N($D73)),AU$2,"")</f>
        <v/>
      </c>
      <c r="AV73" s="25">
        <f>IF(AND(ISNUMBER($D73),N(AV$2)&gt;=N($G$2),N(AV$2)&lt;=N($D73)),AV$2,"")</f>
        <v/>
      </c>
      <c r="AW73" s="25">
        <f>IF(AND(ISNUMBER($D73),N(AW$2)&gt;=N($G$2),N(AW$2)&lt;=N($D73)),AW$2,"")</f>
        <v/>
      </c>
      <c r="AX73" s="25">
        <f>IF(AND(ISNUMBER($D73),N(AX$2)&gt;=N($G$2),N(AX$2)&lt;=N($D73)),AX$2,"")</f>
        <v/>
      </c>
      <c r="AY73" s="25">
        <f>IF(AND(ISNUMBER($D73),N(AY$2)&gt;=N($G$2),N(AY$2)&lt;=N($D73)),AY$2,"")</f>
        <v/>
      </c>
      <c r="AZ73" s="25">
        <f>IF(AND(ISNUMBER($D73),N(AZ$2)&gt;=N($G$2),N(AZ$2)&lt;=N($D73)),AZ$2,"")</f>
        <v/>
      </c>
      <c r="BA73" s="25">
        <f>IF(AND(ISNUMBER($D73),N(BA$2)&gt;=N($G$2),N(BA$2)&lt;=N($D73)),BA$2,"")</f>
        <v/>
      </c>
      <c r="BB73" s="25">
        <f>IF(AND(ISNUMBER($D73),N(BB$2)&gt;=N($G$2),N(BB$2)&lt;=N($D73)),BB$2,"")</f>
        <v/>
      </c>
      <c r="BC73" s="25">
        <f>IF(AND(ISNUMBER($D73),N(BC$2)&gt;=N($G$2),N(BC$2)&lt;=N($D73)),BC$2,"")</f>
        <v/>
      </c>
      <c r="BD73" s="25">
        <f>IF(AND(ISNUMBER($D73),N(BD$2)&gt;=N($G$2),N(BD$2)&lt;=N($D73)),BD$2,"")</f>
        <v/>
      </c>
      <c r="BE73" s="25">
        <f>IF(AND(ISNUMBER($D73),N(BE$2)&gt;=N($G$2),N(BE$2)&lt;=N($D73)),BE$2,"")</f>
        <v/>
      </c>
      <c r="BF73" s="25">
        <f>IF(AND(ISNUMBER($D73),N(BF$2)&gt;=N($G$2),N(BF$2)&lt;=N($D73)),BF$2,"")</f>
        <v/>
      </c>
      <c r="BG73" s="25">
        <f>IF(AND(ISNUMBER($D73),N(BG$2)&gt;=N($G$2),N(BG$2)&lt;=N($D73)),BG$2,"")</f>
        <v/>
      </c>
      <c r="BH73" s="25">
        <f>IF(AND(ISNUMBER($D73),N(BH$2)&gt;=N($G$2),N(BH$2)&lt;=N($D73)),BH$2,"")</f>
        <v/>
      </c>
      <c r="BI73" s="25">
        <f>IF(AND(ISNUMBER($D73),N(BI$2)&gt;=N($G$2),N(BI$2)&lt;=N($D73)),BI$2,"")</f>
        <v/>
      </c>
      <c r="BJ73" s="25">
        <f>IF(AND(ISNUMBER($D73),N(BJ$2)&gt;=N($G$2),N(BJ$2)&lt;=N($D73)),BJ$2,"")</f>
        <v/>
      </c>
      <c r="BK73" s="25">
        <f>IF(AND(ISNUMBER($D73),N(BK$2)&gt;=N($G$2),N(BK$2)&lt;=N($D73)),BK$2,"")</f>
        <v/>
      </c>
      <c r="BL73" s="25">
        <f>IF(AND(ISNUMBER($D73),N(BL$2)&gt;=N($G$2),N(BL$2)&lt;=N($D73)),BL$2,"")</f>
        <v/>
      </c>
      <c r="BM73" s="25">
        <f>IF(AND(ISNUMBER($D73),N(BM$2)&gt;=N($G$2),N(BM$2)&lt;=N($D73)),BM$2,"")</f>
        <v/>
      </c>
      <c r="BN73" s="25">
        <f>IF(AND(ISNUMBER($D73),N(BN$2)&gt;=N($G$2),N(BN$2)&lt;=N($D73)),BN$2,"")</f>
        <v/>
      </c>
      <c r="BO73" s="25">
        <f>IF(AND(ISNUMBER($D73),N(BO$2)&gt;=N($G$2),N(BO$2)&lt;=N($D73)),BO$2,"")</f>
        <v/>
      </c>
    </row>
    <row r="74" ht="20" customHeight="1">
      <c r="A74" s="26" t="inlineStr">
        <is>
          <t>实际</t>
        </is>
      </c>
      <c r="B74" s="26" t="inlineStr">
        <is>
          <t>第二期</t>
        </is>
      </c>
      <c r="C74" s="27" t="inlineStr">
        <is>
          <t>PAB180·排针机安装调试</t>
        </is>
      </c>
      <c r="D74" s="28">
        <f>'时间节点计划表'!E37</f>
        <v/>
      </c>
      <c r="E74" s="28">
        <f>IF(COUNT('时间节点计划表'!F37),'时间节点计划表'!F37,"")</f>
        <v/>
      </c>
      <c r="F74" s="29">
        <f>IF(OR(D74="",E74=""),"待填",E74-D74)</f>
        <v/>
      </c>
      <c r="G74" s="25">
        <f>IF(AND(ISNUMBER($E74),N(G$2)&gt;=N($G$2),N(G$2)&lt;=N($E74)),G$2,"")</f>
        <v/>
      </c>
      <c r="H74" s="25">
        <f>IF(AND(ISNUMBER($E74),N(H$2)&gt;=N($G$2),N(H$2)&lt;=N($E74)),H$2,"")</f>
        <v/>
      </c>
      <c r="I74" s="25">
        <f>IF(AND(ISNUMBER($E74),N(I$2)&gt;=N($G$2),N(I$2)&lt;=N($E74)),I$2,"")</f>
        <v/>
      </c>
      <c r="J74" s="25">
        <f>IF(AND(ISNUMBER($E74),N(J$2)&gt;=N($G$2),N(J$2)&lt;=N($E74)),J$2,"")</f>
        <v/>
      </c>
      <c r="K74" s="25">
        <f>IF(AND(ISNUMBER($E74),N(K$2)&gt;=N($G$2),N(K$2)&lt;=N($E74)),K$2,"")</f>
        <v/>
      </c>
      <c r="L74" s="25">
        <f>IF(AND(ISNUMBER($E74),N(L$2)&gt;=N($G$2),N(L$2)&lt;=N($E74)),L$2,"")</f>
        <v/>
      </c>
      <c r="M74" s="25">
        <f>IF(AND(ISNUMBER($E74),N(M$2)&gt;=N($G$2),N(M$2)&lt;=N($E74)),M$2,"")</f>
        <v/>
      </c>
      <c r="N74" s="25">
        <f>IF(AND(ISNUMBER($E74),N(N$2)&gt;=N($G$2),N(N$2)&lt;=N($E74)),N$2,"")</f>
        <v/>
      </c>
      <c r="O74" s="25">
        <f>IF(AND(ISNUMBER($E74),N(O$2)&gt;=N($G$2),N(O$2)&lt;=N($E74)),O$2,"")</f>
        <v/>
      </c>
      <c r="P74" s="25">
        <f>IF(AND(ISNUMBER($E74),N(P$2)&gt;=N($G$2),N(P$2)&lt;=N($E74)),P$2,"")</f>
        <v/>
      </c>
      <c r="Q74" s="25">
        <f>IF(AND(ISNUMBER($E74),N(Q$2)&gt;=N($G$2),N(Q$2)&lt;=N($E74)),Q$2,"")</f>
        <v/>
      </c>
      <c r="R74" s="25">
        <f>IF(AND(ISNUMBER($E74),N(R$2)&gt;=N($G$2),N(R$2)&lt;=N($E74)),R$2,"")</f>
        <v/>
      </c>
      <c r="S74" s="25">
        <f>IF(AND(ISNUMBER($E74),N(S$2)&gt;=N($G$2),N(S$2)&lt;=N($E74)),S$2,"")</f>
        <v/>
      </c>
      <c r="T74" s="25">
        <f>IF(AND(ISNUMBER($E74),N(T$2)&gt;=N($G$2),N(T$2)&lt;=N($E74)),T$2,"")</f>
        <v/>
      </c>
      <c r="U74" s="25">
        <f>IF(AND(ISNUMBER($E74),N(U$2)&gt;=N($G$2),N(U$2)&lt;=N($E74)),U$2,"")</f>
        <v/>
      </c>
      <c r="V74" s="25">
        <f>IF(AND(ISNUMBER($E74),N(V$2)&gt;=N($G$2),N(V$2)&lt;=N($E74)),V$2,"")</f>
        <v/>
      </c>
      <c r="W74" s="25">
        <f>IF(AND(ISNUMBER($E74),N(W$2)&gt;=N($G$2),N(W$2)&lt;=N($E74)),W$2,"")</f>
        <v/>
      </c>
      <c r="X74" s="25">
        <f>IF(AND(ISNUMBER($E74),N(X$2)&gt;=N($G$2),N(X$2)&lt;=N($E74)),X$2,"")</f>
        <v/>
      </c>
      <c r="Y74" s="25">
        <f>IF(AND(ISNUMBER($E74),N(Y$2)&gt;=N($G$2),N(Y$2)&lt;=N($E74)),Y$2,"")</f>
        <v/>
      </c>
      <c r="Z74" s="25">
        <f>IF(AND(ISNUMBER($E74),N(Z$2)&gt;=N($G$2),N(Z$2)&lt;=N($E74)),Z$2,"")</f>
        <v/>
      </c>
      <c r="AA74" s="25">
        <f>IF(AND(ISNUMBER($E74),N(AA$2)&gt;=N($G$2),N(AA$2)&lt;=N($E74)),AA$2,"")</f>
        <v/>
      </c>
      <c r="AB74" s="25">
        <f>IF(AND(ISNUMBER($E74),N(AB$2)&gt;=N($G$2),N(AB$2)&lt;=N($E74)),AB$2,"")</f>
        <v/>
      </c>
      <c r="AC74" s="25">
        <f>IF(AND(ISNUMBER($E74),N(AC$2)&gt;=N($G$2),N(AC$2)&lt;=N($E74)),AC$2,"")</f>
        <v/>
      </c>
      <c r="AD74" s="25">
        <f>IF(AND(ISNUMBER($E74),N(AD$2)&gt;=N($G$2),N(AD$2)&lt;=N($E74)),AD$2,"")</f>
        <v/>
      </c>
      <c r="AE74" s="25">
        <f>IF(AND(ISNUMBER($E74),N(AE$2)&gt;=N($G$2),N(AE$2)&lt;=N($E74)),AE$2,"")</f>
        <v/>
      </c>
      <c r="AF74" s="25">
        <f>IF(AND(ISNUMBER($E74),N(AF$2)&gt;=N($G$2),N(AF$2)&lt;=N($E74)),AF$2,"")</f>
        <v/>
      </c>
      <c r="AG74" s="25">
        <f>IF(AND(ISNUMBER($E74),N(AG$2)&gt;=N($G$2),N(AG$2)&lt;=N($E74)),AG$2,"")</f>
        <v/>
      </c>
      <c r="AH74" s="25">
        <f>IF(AND(ISNUMBER($E74),N(AH$2)&gt;=N($G$2),N(AH$2)&lt;=N($E74)),AH$2,"")</f>
        <v/>
      </c>
      <c r="AI74" s="25">
        <f>IF(AND(ISNUMBER($E74),N(AI$2)&gt;=N($G$2),N(AI$2)&lt;=N($E74)),AI$2,"")</f>
        <v/>
      </c>
      <c r="AJ74" s="25">
        <f>IF(AND(ISNUMBER($E74),N(AJ$2)&gt;=N($G$2),N(AJ$2)&lt;=N($E74)),AJ$2,"")</f>
        <v/>
      </c>
      <c r="AK74" s="25">
        <f>IF(AND(ISNUMBER($E74),N(AK$2)&gt;=N($G$2),N(AK$2)&lt;=N($E74)),AK$2,"")</f>
        <v/>
      </c>
      <c r="AL74" s="25">
        <f>IF(AND(ISNUMBER($E74),N(AL$2)&gt;=N($G$2),N(AL$2)&lt;=N($E74)),AL$2,"")</f>
        <v/>
      </c>
      <c r="AM74" s="25">
        <f>IF(AND(ISNUMBER($E74),N(AM$2)&gt;=N($G$2),N(AM$2)&lt;=N($E74)),AM$2,"")</f>
        <v/>
      </c>
      <c r="AN74" s="25">
        <f>IF(AND(ISNUMBER($E74),N(AN$2)&gt;=N($G$2),N(AN$2)&lt;=N($E74)),AN$2,"")</f>
        <v/>
      </c>
      <c r="AO74" s="25">
        <f>IF(AND(ISNUMBER($E74),N(AO$2)&gt;=N($G$2),N(AO$2)&lt;=N($E74)),AO$2,"")</f>
        <v/>
      </c>
      <c r="AP74" s="25">
        <f>IF(AND(ISNUMBER($E74),N(AP$2)&gt;=N($G$2),N(AP$2)&lt;=N($E74)),AP$2,"")</f>
        <v/>
      </c>
      <c r="AQ74" s="25">
        <f>IF(AND(ISNUMBER($E74),N(AQ$2)&gt;=N($G$2),N(AQ$2)&lt;=N($E74)),AQ$2,"")</f>
        <v/>
      </c>
      <c r="AR74" s="25">
        <f>IF(AND(ISNUMBER($E74),N(AR$2)&gt;=N($G$2),N(AR$2)&lt;=N($E74)),AR$2,"")</f>
        <v/>
      </c>
      <c r="AS74" s="25">
        <f>IF(AND(ISNUMBER($E74),N(AS$2)&gt;=N($G$2),N(AS$2)&lt;=N($E74)),AS$2,"")</f>
        <v/>
      </c>
      <c r="AT74" s="25">
        <f>IF(AND(ISNUMBER($E74),N(AT$2)&gt;=N($G$2),N(AT$2)&lt;=N($E74)),AT$2,"")</f>
        <v/>
      </c>
      <c r="AU74" s="25">
        <f>IF(AND(ISNUMBER($E74),N(AU$2)&gt;=N($G$2),N(AU$2)&lt;=N($E74)),AU$2,"")</f>
        <v/>
      </c>
      <c r="AV74" s="25">
        <f>IF(AND(ISNUMBER($E74),N(AV$2)&gt;=N($G$2),N(AV$2)&lt;=N($E74)),AV$2,"")</f>
        <v/>
      </c>
      <c r="AW74" s="25">
        <f>IF(AND(ISNUMBER($E74),N(AW$2)&gt;=N($G$2),N(AW$2)&lt;=N($E74)),AW$2,"")</f>
        <v/>
      </c>
      <c r="AX74" s="25">
        <f>IF(AND(ISNUMBER($E74),N(AX$2)&gt;=N($G$2),N(AX$2)&lt;=N($E74)),AX$2,"")</f>
        <v/>
      </c>
      <c r="AY74" s="25">
        <f>IF(AND(ISNUMBER($E74),N(AY$2)&gt;=N($G$2),N(AY$2)&lt;=N($E74)),AY$2,"")</f>
        <v/>
      </c>
      <c r="AZ74" s="25">
        <f>IF(AND(ISNUMBER($E74),N(AZ$2)&gt;=N($G$2),N(AZ$2)&lt;=N($E74)),AZ$2,"")</f>
        <v/>
      </c>
      <c r="BA74" s="25">
        <f>IF(AND(ISNUMBER($E74),N(BA$2)&gt;=N($G$2),N(BA$2)&lt;=N($E74)),BA$2,"")</f>
        <v/>
      </c>
      <c r="BB74" s="25">
        <f>IF(AND(ISNUMBER($E74),N(BB$2)&gt;=N($G$2),N(BB$2)&lt;=N($E74)),BB$2,"")</f>
        <v/>
      </c>
      <c r="BC74" s="25">
        <f>IF(AND(ISNUMBER($E74),N(BC$2)&gt;=N($G$2),N(BC$2)&lt;=N($E74)),BC$2,"")</f>
        <v/>
      </c>
      <c r="BD74" s="25">
        <f>IF(AND(ISNUMBER($E74),N(BD$2)&gt;=N($G$2),N(BD$2)&lt;=N($E74)),BD$2,"")</f>
        <v/>
      </c>
      <c r="BE74" s="25">
        <f>IF(AND(ISNUMBER($E74),N(BE$2)&gt;=N($G$2),N(BE$2)&lt;=N($E74)),BE$2,"")</f>
        <v/>
      </c>
      <c r="BF74" s="25">
        <f>IF(AND(ISNUMBER($E74),N(BF$2)&gt;=N($G$2),N(BF$2)&lt;=N($E74)),BF$2,"")</f>
        <v/>
      </c>
      <c r="BG74" s="25">
        <f>IF(AND(ISNUMBER($E74),N(BG$2)&gt;=N($G$2),N(BG$2)&lt;=N($E74)),BG$2,"")</f>
        <v/>
      </c>
      <c r="BH74" s="25">
        <f>IF(AND(ISNUMBER($E74),N(BH$2)&gt;=N($G$2),N(BH$2)&lt;=N($E74)),BH$2,"")</f>
        <v/>
      </c>
      <c r="BI74" s="25">
        <f>IF(AND(ISNUMBER($E74),N(BI$2)&gt;=N($G$2),N(BI$2)&lt;=N($E74)),BI$2,"")</f>
        <v/>
      </c>
      <c r="BJ74" s="25">
        <f>IF(AND(ISNUMBER($E74),N(BJ$2)&gt;=N($G$2),N(BJ$2)&lt;=N($E74)),BJ$2,"")</f>
        <v/>
      </c>
      <c r="BK74" s="25">
        <f>IF(AND(ISNUMBER($E74),N(BK$2)&gt;=N($G$2),N(BK$2)&lt;=N($E74)),BK$2,"")</f>
        <v/>
      </c>
      <c r="BL74" s="25">
        <f>IF(AND(ISNUMBER($E74),N(BL$2)&gt;=N($G$2),N(BL$2)&lt;=N($E74)),BL$2,"")</f>
        <v/>
      </c>
      <c r="BM74" s="25">
        <f>IF(AND(ISNUMBER($E74),N(BM$2)&gt;=N($G$2),N(BM$2)&lt;=N($E74)),BM$2,"")</f>
        <v/>
      </c>
      <c r="BN74" s="25">
        <f>IF(AND(ISNUMBER($E74),N(BN$2)&gt;=N($G$2),N(BN$2)&lt;=N($E74)),BN$2,"")</f>
        <v/>
      </c>
      <c r="BO74" s="25">
        <f>IF(AND(ISNUMBER($E74),N(BO$2)&gt;=N($G$2),N(BO$2)&lt;=N($E74)),BO$2,"")</f>
        <v/>
      </c>
    </row>
    <row r="75" ht="20" customHeight="1">
      <c r="A75" s="21" t="inlineStr">
        <is>
          <t>预估</t>
        </is>
      </c>
      <c r="B75" s="21" t="inlineStr">
        <is>
          <t>第二期</t>
        </is>
      </c>
      <c r="C75" s="22" t="inlineStr">
        <is>
          <t>PAB180·单级样机</t>
        </is>
      </c>
      <c r="D75" s="23">
        <f>'时间节点计划表'!E38</f>
        <v/>
      </c>
      <c r="E75" s="23">
        <f>IF(COUNT('时间节点计划表'!F38),'时间节点计划表'!F38,"")</f>
        <v/>
      </c>
      <c r="F75" s="24" t="inlineStr"/>
      <c r="G75" s="25">
        <f>IF(AND(ISNUMBER($D75),N(G$2)&gt;=N($G$2),N(G$2)&lt;=N($D75)),G$2,"")</f>
        <v/>
      </c>
      <c r="H75" s="25">
        <f>IF(AND(ISNUMBER($D75),N(H$2)&gt;=N($G$2),N(H$2)&lt;=N($D75)),H$2,"")</f>
        <v/>
      </c>
      <c r="I75" s="25">
        <f>IF(AND(ISNUMBER($D75),N(I$2)&gt;=N($G$2),N(I$2)&lt;=N($D75)),I$2,"")</f>
        <v/>
      </c>
      <c r="J75" s="25">
        <f>IF(AND(ISNUMBER($D75),N(J$2)&gt;=N($G$2),N(J$2)&lt;=N($D75)),J$2,"")</f>
        <v/>
      </c>
      <c r="K75" s="25">
        <f>IF(AND(ISNUMBER($D75),N(K$2)&gt;=N($G$2),N(K$2)&lt;=N($D75)),K$2,"")</f>
        <v/>
      </c>
      <c r="L75" s="25">
        <f>IF(AND(ISNUMBER($D75),N(L$2)&gt;=N($G$2),N(L$2)&lt;=N($D75)),L$2,"")</f>
        <v/>
      </c>
      <c r="M75" s="25">
        <f>IF(AND(ISNUMBER($D75),N(M$2)&gt;=N($G$2),N(M$2)&lt;=N($D75)),M$2,"")</f>
        <v/>
      </c>
      <c r="N75" s="25">
        <f>IF(AND(ISNUMBER($D75),N(N$2)&gt;=N($G$2),N(N$2)&lt;=N($D75)),N$2,"")</f>
        <v/>
      </c>
      <c r="O75" s="25">
        <f>IF(AND(ISNUMBER($D75),N(O$2)&gt;=N($G$2),N(O$2)&lt;=N($D75)),O$2,"")</f>
        <v/>
      </c>
      <c r="P75" s="25">
        <f>IF(AND(ISNUMBER($D75),N(P$2)&gt;=N($G$2),N(P$2)&lt;=N($D75)),P$2,"")</f>
        <v/>
      </c>
      <c r="Q75" s="25">
        <f>IF(AND(ISNUMBER($D75),N(Q$2)&gt;=N($G$2),N(Q$2)&lt;=N($D75)),Q$2,"")</f>
        <v/>
      </c>
      <c r="R75" s="25">
        <f>IF(AND(ISNUMBER($D75),N(R$2)&gt;=N($G$2),N(R$2)&lt;=N($D75)),R$2,"")</f>
        <v/>
      </c>
      <c r="S75" s="25">
        <f>IF(AND(ISNUMBER($D75),N(S$2)&gt;=N($G$2),N(S$2)&lt;=N($D75)),S$2,"")</f>
        <v/>
      </c>
      <c r="T75" s="25">
        <f>IF(AND(ISNUMBER($D75),N(T$2)&gt;=N($G$2),N(T$2)&lt;=N($D75)),T$2,"")</f>
        <v/>
      </c>
      <c r="U75" s="25">
        <f>IF(AND(ISNUMBER($D75),N(U$2)&gt;=N($G$2),N(U$2)&lt;=N($D75)),U$2,"")</f>
        <v/>
      </c>
      <c r="V75" s="25">
        <f>IF(AND(ISNUMBER($D75),N(V$2)&gt;=N($G$2),N(V$2)&lt;=N($D75)),V$2,"")</f>
        <v/>
      </c>
      <c r="W75" s="25">
        <f>IF(AND(ISNUMBER($D75),N(W$2)&gt;=N($G$2),N(W$2)&lt;=N($D75)),W$2,"")</f>
        <v/>
      </c>
      <c r="X75" s="25">
        <f>IF(AND(ISNUMBER($D75),N(X$2)&gt;=N($G$2),N(X$2)&lt;=N($D75)),X$2,"")</f>
        <v/>
      </c>
      <c r="Y75" s="25">
        <f>IF(AND(ISNUMBER($D75),N(Y$2)&gt;=N($G$2),N(Y$2)&lt;=N($D75)),Y$2,"")</f>
        <v/>
      </c>
      <c r="Z75" s="25">
        <f>IF(AND(ISNUMBER($D75),N(Z$2)&gt;=N($G$2),N(Z$2)&lt;=N($D75)),Z$2,"")</f>
        <v/>
      </c>
      <c r="AA75" s="25">
        <f>IF(AND(ISNUMBER($D75),N(AA$2)&gt;=N($G$2),N(AA$2)&lt;=N($D75)),AA$2,"")</f>
        <v/>
      </c>
      <c r="AB75" s="25">
        <f>IF(AND(ISNUMBER($D75),N(AB$2)&gt;=N($G$2),N(AB$2)&lt;=N($D75)),AB$2,"")</f>
        <v/>
      </c>
      <c r="AC75" s="25">
        <f>IF(AND(ISNUMBER($D75),N(AC$2)&gt;=N($G$2),N(AC$2)&lt;=N($D75)),AC$2,"")</f>
        <v/>
      </c>
      <c r="AD75" s="25">
        <f>IF(AND(ISNUMBER($D75),N(AD$2)&gt;=N($G$2),N(AD$2)&lt;=N($D75)),AD$2,"")</f>
        <v/>
      </c>
      <c r="AE75" s="25">
        <f>IF(AND(ISNUMBER($D75),N(AE$2)&gt;=N($G$2),N(AE$2)&lt;=N($D75)),AE$2,"")</f>
        <v/>
      </c>
      <c r="AF75" s="25">
        <f>IF(AND(ISNUMBER($D75),N(AF$2)&gt;=N($G$2),N(AF$2)&lt;=N($D75)),AF$2,"")</f>
        <v/>
      </c>
      <c r="AG75" s="25">
        <f>IF(AND(ISNUMBER($D75),N(AG$2)&gt;=N($G$2),N(AG$2)&lt;=N($D75)),AG$2,"")</f>
        <v/>
      </c>
      <c r="AH75" s="25">
        <f>IF(AND(ISNUMBER($D75),N(AH$2)&gt;=N($G$2),N(AH$2)&lt;=N($D75)),AH$2,"")</f>
        <v/>
      </c>
      <c r="AI75" s="25">
        <f>IF(AND(ISNUMBER($D75),N(AI$2)&gt;=N($G$2),N(AI$2)&lt;=N($D75)),AI$2,"")</f>
        <v/>
      </c>
      <c r="AJ75" s="25">
        <f>IF(AND(ISNUMBER($D75),N(AJ$2)&gt;=N($G$2),N(AJ$2)&lt;=N($D75)),AJ$2,"")</f>
        <v/>
      </c>
      <c r="AK75" s="25">
        <f>IF(AND(ISNUMBER($D75),N(AK$2)&gt;=N($G$2),N(AK$2)&lt;=N($D75)),AK$2,"")</f>
        <v/>
      </c>
      <c r="AL75" s="25">
        <f>IF(AND(ISNUMBER($D75),N(AL$2)&gt;=N($G$2),N(AL$2)&lt;=N($D75)),AL$2,"")</f>
        <v/>
      </c>
      <c r="AM75" s="25">
        <f>IF(AND(ISNUMBER($D75),N(AM$2)&gt;=N($G$2),N(AM$2)&lt;=N($D75)),AM$2,"")</f>
        <v/>
      </c>
      <c r="AN75" s="25">
        <f>IF(AND(ISNUMBER($D75),N(AN$2)&gt;=N($G$2),N(AN$2)&lt;=N($D75)),AN$2,"")</f>
        <v/>
      </c>
      <c r="AO75" s="25">
        <f>IF(AND(ISNUMBER($D75),N(AO$2)&gt;=N($G$2),N(AO$2)&lt;=N($D75)),AO$2,"")</f>
        <v/>
      </c>
      <c r="AP75" s="25">
        <f>IF(AND(ISNUMBER($D75),N(AP$2)&gt;=N($G$2),N(AP$2)&lt;=N($D75)),AP$2,"")</f>
        <v/>
      </c>
      <c r="AQ75" s="25">
        <f>IF(AND(ISNUMBER($D75),N(AQ$2)&gt;=N($G$2),N(AQ$2)&lt;=N($D75)),AQ$2,"")</f>
        <v/>
      </c>
      <c r="AR75" s="25">
        <f>IF(AND(ISNUMBER($D75),N(AR$2)&gt;=N($G$2),N(AR$2)&lt;=N($D75)),AR$2,"")</f>
        <v/>
      </c>
      <c r="AS75" s="25">
        <f>IF(AND(ISNUMBER($D75),N(AS$2)&gt;=N($G$2),N(AS$2)&lt;=N($D75)),AS$2,"")</f>
        <v/>
      </c>
      <c r="AT75" s="25">
        <f>IF(AND(ISNUMBER($D75),N(AT$2)&gt;=N($G$2),N(AT$2)&lt;=N($D75)),AT$2,"")</f>
        <v/>
      </c>
      <c r="AU75" s="25">
        <f>IF(AND(ISNUMBER($D75),N(AU$2)&gt;=N($G$2),N(AU$2)&lt;=N($D75)),AU$2,"")</f>
        <v/>
      </c>
      <c r="AV75" s="25">
        <f>IF(AND(ISNUMBER($D75),N(AV$2)&gt;=N($G$2),N(AV$2)&lt;=N($D75)),AV$2,"")</f>
        <v/>
      </c>
      <c r="AW75" s="25">
        <f>IF(AND(ISNUMBER($D75),N(AW$2)&gt;=N($G$2),N(AW$2)&lt;=N($D75)),AW$2,"")</f>
        <v/>
      </c>
      <c r="AX75" s="25">
        <f>IF(AND(ISNUMBER($D75),N(AX$2)&gt;=N($G$2),N(AX$2)&lt;=N($D75)),AX$2,"")</f>
        <v/>
      </c>
      <c r="AY75" s="25">
        <f>IF(AND(ISNUMBER($D75),N(AY$2)&gt;=N($G$2),N(AY$2)&lt;=N($D75)),AY$2,"")</f>
        <v/>
      </c>
      <c r="AZ75" s="25">
        <f>IF(AND(ISNUMBER($D75),N(AZ$2)&gt;=N($G$2),N(AZ$2)&lt;=N($D75)),AZ$2,"")</f>
        <v/>
      </c>
      <c r="BA75" s="25">
        <f>IF(AND(ISNUMBER($D75),N(BA$2)&gt;=N($G$2),N(BA$2)&lt;=N($D75)),BA$2,"")</f>
        <v/>
      </c>
      <c r="BB75" s="25">
        <f>IF(AND(ISNUMBER($D75),N(BB$2)&gt;=N($G$2),N(BB$2)&lt;=N($D75)),BB$2,"")</f>
        <v/>
      </c>
      <c r="BC75" s="25">
        <f>IF(AND(ISNUMBER($D75),N(BC$2)&gt;=N($G$2),N(BC$2)&lt;=N($D75)),BC$2,"")</f>
        <v/>
      </c>
      <c r="BD75" s="25">
        <f>IF(AND(ISNUMBER($D75),N(BD$2)&gt;=N($G$2),N(BD$2)&lt;=N($D75)),BD$2,"")</f>
        <v/>
      </c>
      <c r="BE75" s="25">
        <f>IF(AND(ISNUMBER($D75),N(BE$2)&gt;=N($G$2),N(BE$2)&lt;=N($D75)),BE$2,"")</f>
        <v/>
      </c>
      <c r="BF75" s="25">
        <f>IF(AND(ISNUMBER($D75),N(BF$2)&gt;=N($G$2),N(BF$2)&lt;=N($D75)),BF$2,"")</f>
        <v/>
      </c>
      <c r="BG75" s="25">
        <f>IF(AND(ISNUMBER($D75),N(BG$2)&gt;=N($G$2),N(BG$2)&lt;=N($D75)),BG$2,"")</f>
        <v/>
      </c>
      <c r="BH75" s="25">
        <f>IF(AND(ISNUMBER($D75),N(BH$2)&gt;=N($G$2),N(BH$2)&lt;=N($D75)),BH$2,"")</f>
        <v/>
      </c>
      <c r="BI75" s="25">
        <f>IF(AND(ISNUMBER($D75),N(BI$2)&gt;=N($G$2),N(BI$2)&lt;=N($D75)),BI$2,"")</f>
        <v/>
      </c>
      <c r="BJ75" s="25">
        <f>IF(AND(ISNUMBER($D75),N(BJ$2)&gt;=N($G$2),N(BJ$2)&lt;=N($D75)),BJ$2,"")</f>
        <v/>
      </c>
      <c r="BK75" s="25">
        <f>IF(AND(ISNUMBER($D75),N(BK$2)&gt;=N($G$2),N(BK$2)&lt;=N($D75)),BK$2,"")</f>
        <v/>
      </c>
      <c r="BL75" s="25">
        <f>IF(AND(ISNUMBER($D75),N(BL$2)&gt;=N($G$2),N(BL$2)&lt;=N($D75)),BL$2,"")</f>
        <v/>
      </c>
      <c r="BM75" s="25">
        <f>IF(AND(ISNUMBER($D75),N(BM$2)&gt;=N($G$2),N(BM$2)&lt;=N($D75)),BM$2,"")</f>
        <v/>
      </c>
      <c r="BN75" s="25">
        <f>IF(AND(ISNUMBER($D75),N(BN$2)&gt;=N($G$2),N(BN$2)&lt;=N($D75)),BN$2,"")</f>
        <v/>
      </c>
      <c r="BO75" s="25">
        <f>IF(AND(ISNUMBER($D75),N(BO$2)&gt;=N($G$2),N(BO$2)&lt;=N($D75)),BO$2,"")</f>
        <v/>
      </c>
    </row>
    <row r="76" ht="20" customHeight="1">
      <c r="A76" s="26" t="inlineStr">
        <is>
          <t>实际</t>
        </is>
      </c>
      <c r="B76" s="26" t="inlineStr">
        <is>
          <t>第二期</t>
        </is>
      </c>
      <c r="C76" s="27" t="inlineStr">
        <is>
          <t>PAB180·单级样机</t>
        </is>
      </c>
      <c r="D76" s="28">
        <f>'时间节点计划表'!E38</f>
        <v/>
      </c>
      <c r="E76" s="28">
        <f>IF(COUNT('时间节点计划表'!F38),'时间节点计划表'!F38,"")</f>
        <v/>
      </c>
      <c r="F76" s="29">
        <f>IF(OR(D76="",E76=""),"待填",E76-D76)</f>
        <v/>
      </c>
      <c r="G76" s="25">
        <f>IF(AND(ISNUMBER($E76),N(G$2)&gt;=N($G$2),N(G$2)&lt;=N($E76)),G$2,"")</f>
        <v/>
      </c>
      <c r="H76" s="25">
        <f>IF(AND(ISNUMBER($E76),N(H$2)&gt;=N($G$2),N(H$2)&lt;=N($E76)),H$2,"")</f>
        <v/>
      </c>
      <c r="I76" s="25">
        <f>IF(AND(ISNUMBER($E76),N(I$2)&gt;=N($G$2),N(I$2)&lt;=N($E76)),I$2,"")</f>
        <v/>
      </c>
      <c r="J76" s="25">
        <f>IF(AND(ISNUMBER($E76),N(J$2)&gt;=N($G$2),N(J$2)&lt;=N($E76)),J$2,"")</f>
        <v/>
      </c>
      <c r="K76" s="25">
        <f>IF(AND(ISNUMBER($E76),N(K$2)&gt;=N($G$2),N(K$2)&lt;=N($E76)),K$2,"")</f>
        <v/>
      </c>
      <c r="L76" s="25">
        <f>IF(AND(ISNUMBER($E76),N(L$2)&gt;=N($G$2),N(L$2)&lt;=N($E76)),L$2,"")</f>
        <v/>
      </c>
      <c r="M76" s="25">
        <f>IF(AND(ISNUMBER($E76),N(M$2)&gt;=N($G$2),N(M$2)&lt;=N($E76)),M$2,"")</f>
        <v/>
      </c>
      <c r="N76" s="25">
        <f>IF(AND(ISNUMBER($E76),N(N$2)&gt;=N($G$2),N(N$2)&lt;=N($E76)),N$2,"")</f>
        <v/>
      </c>
      <c r="O76" s="25">
        <f>IF(AND(ISNUMBER($E76),N(O$2)&gt;=N($G$2),N(O$2)&lt;=N($E76)),O$2,"")</f>
        <v/>
      </c>
      <c r="P76" s="25">
        <f>IF(AND(ISNUMBER($E76),N(P$2)&gt;=N($G$2),N(P$2)&lt;=N($E76)),P$2,"")</f>
        <v/>
      </c>
      <c r="Q76" s="25">
        <f>IF(AND(ISNUMBER($E76),N(Q$2)&gt;=N($G$2),N(Q$2)&lt;=N($E76)),Q$2,"")</f>
        <v/>
      </c>
      <c r="R76" s="25">
        <f>IF(AND(ISNUMBER($E76),N(R$2)&gt;=N($G$2),N(R$2)&lt;=N($E76)),R$2,"")</f>
        <v/>
      </c>
      <c r="S76" s="25">
        <f>IF(AND(ISNUMBER($E76),N(S$2)&gt;=N($G$2),N(S$2)&lt;=N($E76)),S$2,"")</f>
        <v/>
      </c>
      <c r="T76" s="25">
        <f>IF(AND(ISNUMBER($E76),N(T$2)&gt;=N($G$2),N(T$2)&lt;=N($E76)),T$2,"")</f>
        <v/>
      </c>
      <c r="U76" s="25">
        <f>IF(AND(ISNUMBER($E76),N(U$2)&gt;=N($G$2),N(U$2)&lt;=N($E76)),U$2,"")</f>
        <v/>
      </c>
      <c r="V76" s="25">
        <f>IF(AND(ISNUMBER($E76),N(V$2)&gt;=N($G$2),N(V$2)&lt;=N($E76)),V$2,"")</f>
        <v/>
      </c>
      <c r="W76" s="25">
        <f>IF(AND(ISNUMBER($E76),N(W$2)&gt;=N($G$2),N(W$2)&lt;=N($E76)),W$2,"")</f>
        <v/>
      </c>
      <c r="X76" s="25">
        <f>IF(AND(ISNUMBER($E76),N(X$2)&gt;=N($G$2),N(X$2)&lt;=N($E76)),X$2,"")</f>
        <v/>
      </c>
      <c r="Y76" s="25">
        <f>IF(AND(ISNUMBER($E76),N(Y$2)&gt;=N($G$2),N(Y$2)&lt;=N($E76)),Y$2,"")</f>
        <v/>
      </c>
      <c r="Z76" s="25">
        <f>IF(AND(ISNUMBER($E76),N(Z$2)&gt;=N($G$2),N(Z$2)&lt;=N($E76)),Z$2,"")</f>
        <v/>
      </c>
      <c r="AA76" s="25">
        <f>IF(AND(ISNUMBER($E76),N(AA$2)&gt;=N($G$2),N(AA$2)&lt;=N($E76)),AA$2,"")</f>
        <v/>
      </c>
      <c r="AB76" s="25">
        <f>IF(AND(ISNUMBER($E76),N(AB$2)&gt;=N($G$2),N(AB$2)&lt;=N($E76)),AB$2,"")</f>
        <v/>
      </c>
      <c r="AC76" s="25">
        <f>IF(AND(ISNUMBER($E76),N(AC$2)&gt;=N($G$2),N(AC$2)&lt;=N($E76)),AC$2,"")</f>
        <v/>
      </c>
      <c r="AD76" s="25">
        <f>IF(AND(ISNUMBER($E76),N(AD$2)&gt;=N($G$2),N(AD$2)&lt;=N($E76)),AD$2,"")</f>
        <v/>
      </c>
      <c r="AE76" s="25">
        <f>IF(AND(ISNUMBER($E76),N(AE$2)&gt;=N($G$2),N(AE$2)&lt;=N($E76)),AE$2,"")</f>
        <v/>
      </c>
      <c r="AF76" s="25">
        <f>IF(AND(ISNUMBER($E76),N(AF$2)&gt;=N($G$2),N(AF$2)&lt;=N($E76)),AF$2,"")</f>
        <v/>
      </c>
      <c r="AG76" s="25">
        <f>IF(AND(ISNUMBER($E76),N(AG$2)&gt;=N($G$2),N(AG$2)&lt;=N($E76)),AG$2,"")</f>
        <v/>
      </c>
      <c r="AH76" s="25">
        <f>IF(AND(ISNUMBER($E76),N(AH$2)&gt;=N($G$2),N(AH$2)&lt;=N($E76)),AH$2,"")</f>
        <v/>
      </c>
      <c r="AI76" s="25">
        <f>IF(AND(ISNUMBER($E76),N(AI$2)&gt;=N($G$2),N(AI$2)&lt;=N($E76)),AI$2,"")</f>
        <v/>
      </c>
      <c r="AJ76" s="25">
        <f>IF(AND(ISNUMBER($E76),N(AJ$2)&gt;=N($G$2),N(AJ$2)&lt;=N($E76)),AJ$2,"")</f>
        <v/>
      </c>
      <c r="AK76" s="25">
        <f>IF(AND(ISNUMBER($E76),N(AK$2)&gt;=N($G$2),N(AK$2)&lt;=N($E76)),AK$2,"")</f>
        <v/>
      </c>
      <c r="AL76" s="25">
        <f>IF(AND(ISNUMBER($E76),N(AL$2)&gt;=N($G$2),N(AL$2)&lt;=N($E76)),AL$2,"")</f>
        <v/>
      </c>
      <c r="AM76" s="25">
        <f>IF(AND(ISNUMBER($E76),N(AM$2)&gt;=N($G$2),N(AM$2)&lt;=N($E76)),AM$2,"")</f>
        <v/>
      </c>
      <c r="AN76" s="25">
        <f>IF(AND(ISNUMBER($E76),N(AN$2)&gt;=N($G$2),N(AN$2)&lt;=N($E76)),AN$2,"")</f>
        <v/>
      </c>
      <c r="AO76" s="25">
        <f>IF(AND(ISNUMBER($E76),N(AO$2)&gt;=N($G$2),N(AO$2)&lt;=N($E76)),AO$2,"")</f>
        <v/>
      </c>
      <c r="AP76" s="25">
        <f>IF(AND(ISNUMBER($E76),N(AP$2)&gt;=N($G$2),N(AP$2)&lt;=N($E76)),AP$2,"")</f>
        <v/>
      </c>
      <c r="AQ76" s="25">
        <f>IF(AND(ISNUMBER($E76),N(AQ$2)&gt;=N($G$2),N(AQ$2)&lt;=N($E76)),AQ$2,"")</f>
        <v/>
      </c>
      <c r="AR76" s="25">
        <f>IF(AND(ISNUMBER($E76),N(AR$2)&gt;=N($G$2),N(AR$2)&lt;=N($E76)),AR$2,"")</f>
        <v/>
      </c>
      <c r="AS76" s="25">
        <f>IF(AND(ISNUMBER($E76),N(AS$2)&gt;=N($G$2),N(AS$2)&lt;=N($E76)),AS$2,"")</f>
        <v/>
      </c>
      <c r="AT76" s="25">
        <f>IF(AND(ISNUMBER($E76),N(AT$2)&gt;=N($G$2),N(AT$2)&lt;=N($E76)),AT$2,"")</f>
        <v/>
      </c>
      <c r="AU76" s="25">
        <f>IF(AND(ISNUMBER($E76),N(AU$2)&gt;=N($G$2),N(AU$2)&lt;=N($E76)),AU$2,"")</f>
        <v/>
      </c>
      <c r="AV76" s="25">
        <f>IF(AND(ISNUMBER($E76),N(AV$2)&gt;=N($G$2),N(AV$2)&lt;=N($E76)),AV$2,"")</f>
        <v/>
      </c>
      <c r="AW76" s="25">
        <f>IF(AND(ISNUMBER($E76),N(AW$2)&gt;=N($G$2),N(AW$2)&lt;=N($E76)),AW$2,"")</f>
        <v/>
      </c>
      <c r="AX76" s="25">
        <f>IF(AND(ISNUMBER($E76),N(AX$2)&gt;=N($G$2),N(AX$2)&lt;=N($E76)),AX$2,"")</f>
        <v/>
      </c>
      <c r="AY76" s="25">
        <f>IF(AND(ISNUMBER($E76),N(AY$2)&gt;=N($G$2),N(AY$2)&lt;=N($E76)),AY$2,"")</f>
        <v/>
      </c>
      <c r="AZ76" s="25">
        <f>IF(AND(ISNUMBER($E76),N(AZ$2)&gt;=N($G$2),N(AZ$2)&lt;=N($E76)),AZ$2,"")</f>
        <v/>
      </c>
      <c r="BA76" s="25">
        <f>IF(AND(ISNUMBER($E76),N(BA$2)&gt;=N($G$2),N(BA$2)&lt;=N($E76)),BA$2,"")</f>
        <v/>
      </c>
      <c r="BB76" s="25">
        <f>IF(AND(ISNUMBER($E76),N(BB$2)&gt;=N($G$2),N(BB$2)&lt;=N($E76)),BB$2,"")</f>
        <v/>
      </c>
      <c r="BC76" s="25">
        <f>IF(AND(ISNUMBER($E76),N(BC$2)&gt;=N($G$2),N(BC$2)&lt;=N($E76)),BC$2,"")</f>
        <v/>
      </c>
      <c r="BD76" s="25">
        <f>IF(AND(ISNUMBER($E76),N(BD$2)&gt;=N($G$2),N(BD$2)&lt;=N($E76)),BD$2,"")</f>
        <v/>
      </c>
      <c r="BE76" s="25">
        <f>IF(AND(ISNUMBER($E76),N(BE$2)&gt;=N($G$2),N(BE$2)&lt;=N($E76)),BE$2,"")</f>
        <v/>
      </c>
      <c r="BF76" s="25">
        <f>IF(AND(ISNUMBER($E76),N(BF$2)&gt;=N($G$2),N(BF$2)&lt;=N($E76)),BF$2,"")</f>
        <v/>
      </c>
      <c r="BG76" s="25">
        <f>IF(AND(ISNUMBER($E76),N(BG$2)&gt;=N($G$2),N(BG$2)&lt;=N($E76)),BG$2,"")</f>
        <v/>
      </c>
      <c r="BH76" s="25">
        <f>IF(AND(ISNUMBER($E76),N(BH$2)&gt;=N($G$2),N(BH$2)&lt;=N($E76)),BH$2,"")</f>
        <v/>
      </c>
      <c r="BI76" s="25">
        <f>IF(AND(ISNUMBER($E76),N(BI$2)&gt;=N($G$2),N(BI$2)&lt;=N($E76)),BI$2,"")</f>
        <v/>
      </c>
      <c r="BJ76" s="25">
        <f>IF(AND(ISNUMBER($E76),N(BJ$2)&gt;=N($G$2),N(BJ$2)&lt;=N($E76)),BJ$2,"")</f>
        <v/>
      </c>
      <c r="BK76" s="25">
        <f>IF(AND(ISNUMBER($E76),N(BK$2)&gt;=N($G$2),N(BK$2)&lt;=N($E76)),BK$2,"")</f>
        <v/>
      </c>
      <c r="BL76" s="25">
        <f>IF(AND(ISNUMBER($E76),N(BL$2)&gt;=N($G$2),N(BL$2)&lt;=N($E76)),BL$2,"")</f>
        <v/>
      </c>
      <c r="BM76" s="25">
        <f>IF(AND(ISNUMBER($E76),N(BM$2)&gt;=N($G$2),N(BM$2)&lt;=N($E76)),BM$2,"")</f>
        <v/>
      </c>
      <c r="BN76" s="25">
        <f>IF(AND(ISNUMBER($E76),N(BN$2)&gt;=N($G$2),N(BN$2)&lt;=N($E76)),BN$2,"")</f>
        <v/>
      </c>
      <c r="BO76" s="25">
        <f>IF(AND(ISNUMBER($E76),N(BO$2)&gt;=N($G$2),N(BO$2)&lt;=N($E76)),BO$2,"")</f>
        <v/>
      </c>
    </row>
    <row r="77" ht="20" customHeight="1">
      <c r="A77" s="21" t="inlineStr">
        <is>
          <t>预估</t>
        </is>
      </c>
      <c r="B77" s="21" t="inlineStr">
        <is>
          <t>第二期</t>
        </is>
      </c>
      <c r="C77" s="22" t="inlineStr">
        <is>
          <t>PAB180·双级样机</t>
        </is>
      </c>
      <c r="D77" s="23">
        <f>'时间节点计划表'!E39</f>
        <v/>
      </c>
      <c r="E77" s="23">
        <f>IF(COUNT('时间节点计划表'!F39),'时间节点计划表'!F39,"")</f>
        <v/>
      </c>
      <c r="F77" s="24" t="inlineStr"/>
      <c r="G77" s="25">
        <f>IF(AND(ISNUMBER($D77),N(G$2)&gt;=N($G$2),N(G$2)&lt;=N($D77)),G$2,"")</f>
        <v/>
      </c>
      <c r="H77" s="25">
        <f>IF(AND(ISNUMBER($D77),N(H$2)&gt;=N($G$2),N(H$2)&lt;=N($D77)),H$2,"")</f>
        <v/>
      </c>
      <c r="I77" s="25">
        <f>IF(AND(ISNUMBER($D77),N(I$2)&gt;=N($G$2),N(I$2)&lt;=N($D77)),I$2,"")</f>
        <v/>
      </c>
      <c r="J77" s="25">
        <f>IF(AND(ISNUMBER($D77),N(J$2)&gt;=N($G$2),N(J$2)&lt;=N($D77)),J$2,"")</f>
        <v/>
      </c>
      <c r="K77" s="25">
        <f>IF(AND(ISNUMBER($D77),N(K$2)&gt;=N($G$2),N(K$2)&lt;=N($D77)),K$2,"")</f>
        <v/>
      </c>
      <c r="L77" s="25">
        <f>IF(AND(ISNUMBER($D77),N(L$2)&gt;=N($G$2),N(L$2)&lt;=N($D77)),L$2,"")</f>
        <v/>
      </c>
      <c r="M77" s="25">
        <f>IF(AND(ISNUMBER($D77),N(M$2)&gt;=N($G$2),N(M$2)&lt;=N($D77)),M$2,"")</f>
        <v/>
      </c>
      <c r="N77" s="25">
        <f>IF(AND(ISNUMBER($D77),N(N$2)&gt;=N($G$2),N(N$2)&lt;=N($D77)),N$2,"")</f>
        <v/>
      </c>
      <c r="O77" s="25">
        <f>IF(AND(ISNUMBER($D77),N(O$2)&gt;=N($G$2),N(O$2)&lt;=N($D77)),O$2,"")</f>
        <v/>
      </c>
      <c r="P77" s="25">
        <f>IF(AND(ISNUMBER($D77),N(P$2)&gt;=N($G$2),N(P$2)&lt;=N($D77)),P$2,"")</f>
        <v/>
      </c>
      <c r="Q77" s="25">
        <f>IF(AND(ISNUMBER($D77),N(Q$2)&gt;=N($G$2),N(Q$2)&lt;=N($D77)),Q$2,"")</f>
        <v/>
      </c>
      <c r="R77" s="25">
        <f>IF(AND(ISNUMBER($D77),N(R$2)&gt;=N($G$2),N(R$2)&lt;=N($D77)),R$2,"")</f>
        <v/>
      </c>
      <c r="S77" s="25">
        <f>IF(AND(ISNUMBER($D77),N(S$2)&gt;=N($G$2),N(S$2)&lt;=N($D77)),S$2,"")</f>
        <v/>
      </c>
      <c r="T77" s="25">
        <f>IF(AND(ISNUMBER($D77),N(T$2)&gt;=N($G$2),N(T$2)&lt;=N($D77)),T$2,"")</f>
        <v/>
      </c>
      <c r="U77" s="25">
        <f>IF(AND(ISNUMBER($D77),N(U$2)&gt;=N($G$2),N(U$2)&lt;=N($D77)),U$2,"")</f>
        <v/>
      </c>
      <c r="V77" s="25">
        <f>IF(AND(ISNUMBER($D77),N(V$2)&gt;=N($G$2),N(V$2)&lt;=N($D77)),V$2,"")</f>
        <v/>
      </c>
      <c r="W77" s="25">
        <f>IF(AND(ISNUMBER($D77),N(W$2)&gt;=N($G$2),N(W$2)&lt;=N($D77)),W$2,"")</f>
        <v/>
      </c>
      <c r="X77" s="25">
        <f>IF(AND(ISNUMBER($D77),N(X$2)&gt;=N($G$2),N(X$2)&lt;=N($D77)),X$2,"")</f>
        <v/>
      </c>
      <c r="Y77" s="25">
        <f>IF(AND(ISNUMBER($D77),N(Y$2)&gt;=N($G$2),N(Y$2)&lt;=N($D77)),Y$2,"")</f>
        <v/>
      </c>
      <c r="Z77" s="25">
        <f>IF(AND(ISNUMBER($D77),N(Z$2)&gt;=N($G$2),N(Z$2)&lt;=N($D77)),Z$2,"")</f>
        <v/>
      </c>
      <c r="AA77" s="25">
        <f>IF(AND(ISNUMBER($D77),N(AA$2)&gt;=N($G$2),N(AA$2)&lt;=N($D77)),AA$2,"")</f>
        <v/>
      </c>
      <c r="AB77" s="25">
        <f>IF(AND(ISNUMBER($D77),N(AB$2)&gt;=N($G$2),N(AB$2)&lt;=N($D77)),AB$2,"")</f>
        <v/>
      </c>
      <c r="AC77" s="25">
        <f>IF(AND(ISNUMBER($D77),N(AC$2)&gt;=N($G$2),N(AC$2)&lt;=N($D77)),AC$2,"")</f>
        <v/>
      </c>
      <c r="AD77" s="25">
        <f>IF(AND(ISNUMBER($D77),N(AD$2)&gt;=N($G$2),N(AD$2)&lt;=N($D77)),AD$2,"")</f>
        <v/>
      </c>
      <c r="AE77" s="25">
        <f>IF(AND(ISNUMBER($D77),N(AE$2)&gt;=N($G$2),N(AE$2)&lt;=N($D77)),AE$2,"")</f>
        <v/>
      </c>
      <c r="AF77" s="25">
        <f>IF(AND(ISNUMBER($D77),N(AF$2)&gt;=N($G$2),N(AF$2)&lt;=N($D77)),AF$2,"")</f>
        <v/>
      </c>
      <c r="AG77" s="25">
        <f>IF(AND(ISNUMBER($D77),N(AG$2)&gt;=N($G$2),N(AG$2)&lt;=N($D77)),AG$2,"")</f>
        <v/>
      </c>
      <c r="AH77" s="25">
        <f>IF(AND(ISNUMBER($D77),N(AH$2)&gt;=N($G$2),N(AH$2)&lt;=N($D77)),AH$2,"")</f>
        <v/>
      </c>
      <c r="AI77" s="25">
        <f>IF(AND(ISNUMBER($D77),N(AI$2)&gt;=N($G$2),N(AI$2)&lt;=N($D77)),AI$2,"")</f>
        <v/>
      </c>
      <c r="AJ77" s="25">
        <f>IF(AND(ISNUMBER($D77),N(AJ$2)&gt;=N($G$2),N(AJ$2)&lt;=N($D77)),AJ$2,"")</f>
        <v/>
      </c>
      <c r="AK77" s="25">
        <f>IF(AND(ISNUMBER($D77),N(AK$2)&gt;=N($G$2),N(AK$2)&lt;=N($D77)),AK$2,"")</f>
        <v/>
      </c>
      <c r="AL77" s="25">
        <f>IF(AND(ISNUMBER($D77),N(AL$2)&gt;=N($G$2),N(AL$2)&lt;=N($D77)),AL$2,"")</f>
        <v/>
      </c>
      <c r="AM77" s="25">
        <f>IF(AND(ISNUMBER($D77),N(AM$2)&gt;=N($G$2),N(AM$2)&lt;=N($D77)),AM$2,"")</f>
        <v/>
      </c>
      <c r="AN77" s="25">
        <f>IF(AND(ISNUMBER($D77),N(AN$2)&gt;=N($G$2),N(AN$2)&lt;=N($D77)),AN$2,"")</f>
        <v/>
      </c>
      <c r="AO77" s="25">
        <f>IF(AND(ISNUMBER($D77),N(AO$2)&gt;=N($G$2),N(AO$2)&lt;=N($D77)),AO$2,"")</f>
        <v/>
      </c>
      <c r="AP77" s="25">
        <f>IF(AND(ISNUMBER($D77),N(AP$2)&gt;=N($G$2),N(AP$2)&lt;=N($D77)),AP$2,"")</f>
        <v/>
      </c>
      <c r="AQ77" s="25">
        <f>IF(AND(ISNUMBER($D77),N(AQ$2)&gt;=N($G$2),N(AQ$2)&lt;=N($D77)),AQ$2,"")</f>
        <v/>
      </c>
      <c r="AR77" s="25">
        <f>IF(AND(ISNUMBER($D77),N(AR$2)&gt;=N($G$2),N(AR$2)&lt;=N($D77)),AR$2,"")</f>
        <v/>
      </c>
      <c r="AS77" s="25">
        <f>IF(AND(ISNUMBER($D77),N(AS$2)&gt;=N($G$2),N(AS$2)&lt;=N($D77)),AS$2,"")</f>
        <v/>
      </c>
      <c r="AT77" s="25">
        <f>IF(AND(ISNUMBER($D77),N(AT$2)&gt;=N($G$2),N(AT$2)&lt;=N($D77)),AT$2,"")</f>
        <v/>
      </c>
      <c r="AU77" s="25">
        <f>IF(AND(ISNUMBER($D77),N(AU$2)&gt;=N($G$2),N(AU$2)&lt;=N($D77)),AU$2,"")</f>
        <v/>
      </c>
      <c r="AV77" s="25">
        <f>IF(AND(ISNUMBER($D77),N(AV$2)&gt;=N($G$2),N(AV$2)&lt;=N($D77)),AV$2,"")</f>
        <v/>
      </c>
      <c r="AW77" s="25">
        <f>IF(AND(ISNUMBER($D77),N(AW$2)&gt;=N($G$2),N(AW$2)&lt;=N($D77)),AW$2,"")</f>
        <v/>
      </c>
      <c r="AX77" s="25">
        <f>IF(AND(ISNUMBER($D77),N(AX$2)&gt;=N($G$2),N(AX$2)&lt;=N($D77)),AX$2,"")</f>
        <v/>
      </c>
      <c r="AY77" s="25">
        <f>IF(AND(ISNUMBER($D77),N(AY$2)&gt;=N($G$2),N(AY$2)&lt;=N($D77)),AY$2,"")</f>
        <v/>
      </c>
      <c r="AZ77" s="25">
        <f>IF(AND(ISNUMBER($D77),N(AZ$2)&gt;=N($G$2),N(AZ$2)&lt;=N($D77)),AZ$2,"")</f>
        <v/>
      </c>
      <c r="BA77" s="25">
        <f>IF(AND(ISNUMBER($D77),N(BA$2)&gt;=N($G$2),N(BA$2)&lt;=N($D77)),BA$2,"")</f>
        <v/>
      </c>
      <c r="BB77" s="25">
        <f>IF(AND(ISNUMBER($D77),N(BB$2)&gt;=N($G$2),N(BB$2)&lt;=N($D77)),BB$2,"")</f>
        <v/>
      </c>
      <c r="BC77" s="25">
        <f>IF(AND(ISNUMBER($D77),N(BC$2)&gt;=N($G$2),N(BC$2)&lt;=N($D77)),BC$2,"")</f>
        <v/>
      </c>
      <c r="BD77" s="25">
        <f>IF(AND(ISNUMBER($D77),N(BD$2)&gt;=N($G$2),N(BD$2)&lt;=N($D77)),BD$2,"")</f>
        <v/>
      </c>
      <c r="BE77" s="25">
        <f>IF(AND(ISNUMBER($D77),N(BE$2)&gt;=N($G$2),N(BE$2)&lt;=N($D77)),BE$2,"")</f>
        <v/>
      </c>
      <c r="BF77" s="25">
        <f>IF(AND(ISNUMBER($D77),N(BF$2)&gt;=N($G$2),N(BF$2)&lt;=N($D77)),BF$2,"")</f>
        <v/>
      </c>
      <c r="BG77" s="25">
        <f>IF(AND(ISNUMBER($D77),N(BG$2)&gt;=N($G$2),N(BG$2)&lt;=N($D77)),BG$2,"")</f>
        <v/>
      </c>
      <c r="BH77" s="25">
        <f>IF(AND(ISNUMBER($D77),N(BH$2)&gt;=N($G$2),N(BH$2)&lt;=N($D77)),BH$2,"")</f>
        <v/>
      </c>
      <c r="BI77" s="25">
        <f>IF(AND(ISNUMBER($D77),N(BI$2)&gt;=N($G$2),N(BI$2)&lt;=N($D77)),BI$2,"")</f>
        <v/>
      </c>
      <c r="BJ77" s="25">
        <f>IF(AND(ISNUMBER($D77),N(BJ$2)&gt;=N($G$2),N(BJ$2)&lt;=N($D77)),BJ$2,"")</f>
        <v/>
      </c>
      <c r="BK77" s="25">
        <f>IF(AND(ISNUMBER($D77),N(BK$2)&gt;=N($G$2),N(BK$2)&lt;=N($D77)),BK$2,"")</f>
        <v/>
      </c>
      <c r="BL77" s="25">
        <f>IF(AND(ISNUMBER($D77),N(BL$2)&gt;=N($G$2),N(BL$2)&lt;=N($D77)),BL$2,"")</f>
        <v/>
      </c>
      <c r="BM77" s="25">
        <f>IF(AND(ISNUMBER($D77),N(BM$2)&gt;=N($G$2),N(BM$2)&lt;=N($D77)),BM$2,"")</f>
        <v/>
      </c>
      <c r="BN77" s="25">
        <f>IF(AND(ISNUMBER($D77),N(BN$2)&gt;=N($G$2),N(BN$2)&lt;=N($D77)),BN$2,"")</f>
        <v/>
      </c>
      <c r="BO77" s="25">
        <f>IF(AND(ISNUMBER($D77),N(BO$2)&gt;=N($G$2),N(BO$2)&lt;=N($D77)),BO$2,"")</f>
        <v/>
      </c>
    </row>
    <row r="78" ht="20" customHeight="1">
      <c r="A78" s="26" t="inlineStr">
        <is>
          <t>实际</t>
        </is>
      </c>
      <c r="B78" s="26" t="inlineStr">
        <is>
          <t>第二期</t>
        </is>
      </c>
      <c r="C78" s="27" t="inlineStr">
        <is>
          <t>PAB180·双级样机</t>
        </is>
      </c>
      <c r="D78" s="28">
        <f>'时间节点计划表'!E39</f>
        <v/>
      </c>
      <c r="E78" s="28">
        <f>IF(COUNT('时间节点计划表'!F39),'时间节点计划表'!F39,"")</f>
        <v/>
      </c>
      <c r="F78" s="29">
        <f>IF(OR(D78="",E78=""),"待填",E78-D78)</f>
        <v/>
      </c>
      <c r="G78" s="25">
        <f>IF(AND(ISNUMBER($E78),N(G$2)&gt;=N($G$2),N(G$2)&lt;=N($E78)),G$2,"")</f>
        <v/>
      </c>
      <c r="H78" s="25">
        <f>IF(AND(ISNUMBER($E78),N(H$2)&gt;=N($G$2),N(H$2)&lt;=N($E78)),H$2,"")</f>
        <v/>
      </c>
      <c r="I78" s="25">
        <f>IF(AND(ISNUMBER($E78),N(I$2)&gt;=N($G$2),N(I$2)&lt;=N($E78)),I$2,"")</f>
        <v/>
      </c>
      <c r="J78" s="25">
        <f>IF(AND(ISNUMBER($E78),N(J$2)&gt;=N($G$2),N(J$2)&lt;=N($E78)),J$2,"")</f>
        <v/>
      </c>
      <c r="K78" s="25">
        <f>IF(AND(ISNUMBER($E78),N(K$2)&gt;=N($G$2),N(K$2)&lt;=N($E78)),K$2,"")</f>
        <v/>
      </c>
      <c r="L78" s="25">
        <f>IF(AND(ISNUMBER($E78),N(L$2)&gt;=N($G$2),N(L$2)&lt;=N($E78)),L$2,"")</f>
        <v/>
      </c>
      <c r="M78" s="25">
        <f>IF(AND(ISNUMBER($E78),N(M$2)&gt;=N($G$2),N(M$2)&lt;=N($E78)),M$2,"")</f>
        <v/>
      </c>
      <c r="N78" s="25">
        <f>IF(AND(ISNUMBER($E78),N(N$2)&gt;=N($G$2),N(N$2)&lt;=N($E78)),N$2,"")</f>
        <v/>
      </c>
      <c r="O78" s="25">
        <f>IF(AND(ISNUMBER($E78),N(O$2)&gt;=N($G$2),N(O$2)&lt;=N($E78)),O$2,"")</f>
        <v/>
      </c>
      <c r="P78" s="25">
        <f>IF(AND(ISNUMBER($E78),N(P$2)&gt;=N($G$2),N(P$2)&lt;=N($E78)),P$2,"")</f>
        <v/>
      </c>
      <c r="Q78" s="25">
        <f>IF(AND(ISNUMBER($E78),N(Q$2)&gt;=N($G$2),N(Q$2)&lt;=N($E78)),Q$2,"")</f>
        <v/>
      </c>
      <c r="R78" s="25">
        <f>IF(AND(ISNUMBER($E78),N(R$2)&gt;=N($G$2),N(R$2)&lt;=N($E78)),R$2,"")</f>
        <v/>
      </c>
      <c r="S78" s="25">
        <f>IF(AND(ISNUMBER($E78),N(S$2)&gt;=N($G$2),N(S$2)&lt;=N($E78)),S$2,"")</f>
        <v/>
      </c>
      <c r="T78" s="25">
        <f>IF(AND(ISNUMBER($E78),N(T$2)&gt;=N($G$2),N(T$2)&lt;=N($E78)),T$2,"")</f>
        <v/>
      </c>
      <c r="U78" s="25">
        <f>IF(AND(ISNUMBER($E78),N(U$2)&gt;=N($G$2),N(U$2)&lt;=N($E78)),U$2,"")</f>
        <v/>
      </c>
      <c r="V78" s="25">
        <f>IF(AND(ISNUMBER($E78),N(V$2)&gt;=N($G$2),N(V$2)&lt;=N($E78)),V$2,"")</f>
        <v/>
      </c>
      <c r="W78" s="25">
        <f>IF(AND(ISNUMBER($E78),N(W$2)&gt;=N($G$2),N(W$2)&lt;=N($E78)),W$2,"")</f>
        <v/>
      </c>
      <c r="X78" s="25">
        <f>IF(AND(ISNUMBER($E78),N(X$2)&gt;=N($G$2),N(X$2)&lt;=N($E78)),X$2,"")</f>
        <v/>
      </c>
      <c r="Y78" s="25">
        <f>IF(AND(ISNUMBER($E78),N(Y$2)&gt;=N($G$2),N(Y$2)&lt;=N($E78)),Y$2,"")</f>
        <v/>
      </c>
      <c r="Z78" s="25">
        <f>IF(AND(ISNUMBER($E78),N(Z$2)&gt;=N($G$2),N(Z$2)&lt;=N($E78)),Z$2,"")</f>
        <v/>
      </c>
      <c r="AA78" s="25">
        <f>IF(AND(ISNUMBER($E78),N(AA$2)&gt;=N($G$2),N(AA$2)&lt;=N($E78)),AA$2,"")</f>
        <v/>
      </c>
      <c r="AB78" s="25">
        <f>IF(AND(ISNUMBER($E78),N(AB$2)&gt;=N($G$2),N(AB$2)&lt;=N($E78)),AB$2,"")</f>
        <v/>
      </c>
      <c r="AC78" s="25">
        <f>IF(AND(ISNUMBER($E78),N(AC$2)&gt;=N($G$2),N(AC$2)&lt;=N($E78)),AC$2,"")</f>
        <v/>
      </c>
      <c r="AD78" s="25">
        <f>IF(AND(ISNUMBER($E78),N(AD$2)&gt;=N($G$2),N(AD$2)&lt;=N($E78)),AD$2,"")</f>
        <v/>
      </c>
      <c r="AE78" s="25">
        <f>IF(AND(ISNUMBER($E78),N(AE$2)&gt;=N($G$2),N(AE$2)&lt;=N($E78)),AE$2,"")</f>
        <v/>
      </c>
      <c r="AF78" s="25">
        <f>IF(AND(ISNUMBER($E78),N(AF$2)&gt;=N($G$2),N(AF$2)&lt;=N($E78)),AF$2,"")</f>
        <v/>
      </c>
      <c r="AG78" s="25">
        <f>IF(AND(ISNUMBER($E78),N(AG$2)&gt;=N($G$2),N(AG$2)&lt;=N($E78)),AG$2,"")</f>
        <v/>
      </c>
      <c r="AH78" s="25">
        <f>IF(AND(ISNUMBER($E78),N(AH$2)&gt;=N($G$2),N(AH$2)&lt;=N($E78)),AH$2,"")</f>
        <v/>
      </c>
      <c r="AI78" s="25">
        <f>IF(AND(ISNUMBER($E78),N(AI$2)&gt;=N($G$2),N(AI$2)&lt;=N($E78)),AI$2,"")</f>
        <v/>
      </c>
      <c r="AJ78" s="25">
        <f>IF(AND(ISNUMBER($E78),N(AJ$2)&gt;=N($G$2),N(AJ$2)&lt;=N($E78)),AJ$2,"")</f>
        <v/>
      </c>
      <c r="AK78" s="25">
        <f>IF(AND(ISNUMBER($E78),N(AK$2)&gt;=N($G$2),N(AK$2)&lt;=N($E78)),AK$2,"")</f>
        <v/>
      </c>
      <c r="AL78" s="25">
        <f>IF(AND(ISNUMBER($E78),N(AL$2)&gt;=N($G$2),N(AL$2)&lt;=N($E78)),AL$2,"")</f>
        <v/>
      </c>
      <c r="AM78" s="25">
        <f>IF(AND(ISNUMBER($E78),N(AM$2)&gt;=N($G$2),N(AM$2)&lt;=N($E78)),AM$2,"")</f>
        <v/>
      </c>
      <c r="AN78" s="25">
        <f>IF(AND(ISNUMBER($E78),N(AN$2)&gt;=N($G$2),N(AN$2)&lt;=N($E78)),AN$2,"")</f>
        <v/>
      </c>
      <c r="AO78" s="25">
        <f>IF(AND(ISNUMBER($E78),N(AO$2)&gt;=N($G$2),N(AO$2)&lt;=N($E78)),AO$2,"")</f>
        <v/>
      </c>
      <c r="AP78" s="25">
        <f>IF(AND(ISNUMBER($E78),N(AP$2)&gt;=N($G$2),N(AP$2)&lt;=N($E78)),AP$2,"")</f>
        <v/>
      </c>
      <c r="AQ78" s="25">
        <f>IF(AND(ISNUMBER($E78),N(AQ$2)&gt;=N($G$2),N(AQ$2)&lt;=N($E78)),AQ$2,"")</f>
        <v/>
      </c>
      <c r="AR78" s="25">
        <f>IF(AND(ISNUMBER($E78),N(AR$2)&gt;=N($G$2),N(AR$2)&lt;=N($E78)),AR$2,"")</f>
        <v/>
      </c>
      <c r="AS78" s="25">
        <f>IF(AND(ISNUMBER($E78),N(AS$2)&gt;=N($G$2),N(AS$2)&lt;=N($E78)),AS$2,"")</f>
        <v/>
      </c>
      <c r="AT78" s="25">
        <f>IF(AND(ISNUMBER($E78),N(AT$2)&gt;=N($G$2),N(AT$2)&lt;=N($E78)),AT$2,"")</f>
        <v/>
      </c>
      <c r="AU78" s="25">
        <f>IF(AND(ISNUMBER($E78),N(AU$2)&gt;=N($G$2),N(AU$2)&lt;=N($E78)),AU$2,"")</f>
        <v/>
      </c>
      <c r="AV78" s="25">
        <f>IF(AND(ISNUMBER($E78),N(AV$2)&gt;=N($G$2),N(AV$2)&lt;=N($E78)),AV$2,"")</f>
        <v/>
      </c>
      <c r="AW78" s="25">
        <f>IF(AND(ISNUMBER($E78),N(AW$2)&gt;=N($G$2),N(AW$2)&lt;=N($E78)),AW$2,"")</f>
        <v/>
      </c>
      <c r="AX78" s="25">
        <f>IF(AND(ISNUMBER($E78),N(AX$2)&gt;=N($G$2),N(AX$2)&lt;=N($E78)),AX$2,"")</f>
        <v/>
      </c>
      <c r="AY78" s="25">
        <f>IF(AND(ISNUMBER($E78),N(AY$2)&gt;=N($G$2),N(AY$2)&lt;=N($E78)),AY$2,"")</f>
        <v/>
      </c>
      <c r="AZ78" s="25">
        <f>IF(AND(ISNUMBER($E78),N(AZ$2)&gt;=N($G$2),N(AZ$2)&lt;=N($E78)),AZ$2,"")</f>
        <v/>
      </c>
      <c r="BA78" s="25">
        <f>IF(AND(ISNUMBER($E78),N(BA$2)&gt;=N($G$2),N(BA$2)&lt;=N($E78)),BA$2,"")</f>
        <v/>
      </c>
      <c r="BB78" s="25">
        <f>IF(AND(ISNUMBER($E78),N(BB$2)&gt;=N($G$2),N(BB$2)&lt;=N($E78)),BB$2,"")</f>
        <v/>
      </c>
      <c r="BC78" s="25">
        <f>IF(AND(ISNUMBER($E78),N(BC$2)&gt;=N($G$2),N(BC$2)&lt;=N($E78)),BC$2,"")</f>
        <v/>
      </c>
      <c r="BD78" s="25">
        <f>IF(AND(ISNUMBER($E78),N(BD$2)&gt;=N($G$2),N(BD$2)&lt;=N($E78)),BD$2,"")</f>
        <v/>
      </c>
      <c r="BE78" s="25">
        <f>IF(AND(ISNUMBER($E78),N(BE$2)&gt;=N($G$2),N(BE$2)&lt;=N($E78)),BE$2,"")</f>
        <v/>
      </c>
      <c r="BF78" s="25">
        <f>IF(AND(ISNUMBER($E78),N(BF$2)&gt;=N($G$2),N(BF$2)&lt;=N($E78)),BF$2,"")</f>
        <v/>
      </c>
      <c r="BG78" s="25">
        <f>IF(AND(ISNUMBER($E78),N(BG$2)&gt;=N($G$2),N(BG$2)&lt;=N($E78)),BG$2,"")</f>
        <v/>
      </c>
      <c r="BH78" s="25">
        <f>IF(AND(ISNUMBER($E78),N(BH$2)&gt;=N($G$2),N(BH$2)&lt;=N($E78)),BH$2,"")</f>
        <v/>
      </c>
      <c r="BI78" s="25">
        <f>IF(AND(ISNUMBER($E78),N(BI$2)&gt;=N($G$2),N(BI$2)&lt;=N($E78)),BI$2,"")</f>
        <v/>
      </c>
      <c r="BJ78" s="25">
        <f>IF(AND(ISNUMBER($E78),N(BJ$2)&gt;=N($G$2),N(BJ$2)&lt;=N($E78)),BJ$2,"")</f>
        <v/>
      </c>
      <c r="BK78" s="25">
        <f>IF(AND(ISNUMBER($E78),N(BK$2)&gt;=N($G$2),N(BK$2)&lt;=N($E78)),BK$2,"")</f>
        <v/>
      </c>
      <c r="BL78" s="25">
        <f>IF(AND(ISNUMBER($E78),N(BL$2)&gt;=N($G$2),N(BL$2)&lt;=N($E78)),BL$2,"")</f>
        <v/>
      </c>
      <c r="BM78" s="25">
        <f>IF(AND(ISNUMBER($E78),N(BM$2)&gt;=N($G$2),N(BM$2)&lt;=N($E78)),BM$2,"")</f>
        <v/>
      </c>
      <c r="BN78" s="25">
        <f>IF(AND(ISNUMBER($E78),N(BN$2)&gt;=N($G$2),N(BN$2)&lt;=N($E78)),BN$2,"")</f>
        <v/>
      </c>
      <c r="BO78" s="25">
        <f>IF(AND(ISNUMBER($E78),N(BO$2)&gt;=N($G$2),N(BO$2)&lt;=N($E78)),BO$2,"")</f>
        <v/>
      </c>
    </row>
    <row r="79" ht="20" customHeight="1">
      <c r="A79" s="21" t="inlineStr">
        <is>
          <t>预估</t>
        </is>
      </c>
      <c r="B79" s="21" t="inlineStr">
        <is>
          <t>第二期</t>
        </is>
      </c>
      <c r="C79" s="22" t="inlineStr">
        <is>
          <t>PAB220·零件到位</t>
        </is>
      </c>
      <c r="D79" s="23">
        <f>'时间节点计划表'!E40</f>
        <v/>
      </c>
      <c r="E79" s="23">
        <f>IF(COUNT('时间节点计划表'!F40),'时间节点计划表'!F40,"")</f>
        <v/>
      </c>
      <c r="F79" s="24" t="inlineStr"/>
      <c r="G79" s="25">
        <f>IF(AND(ISNUMBER($D79),N(G$2)&gt;=N($G$2),N(G$2)&lt;=N($D79)),G$2,"")</f>
        <v/>
      </c>
      <c r="H79" s="25">
        <f>IF(AND(ISNUMBER($D79),N(H$2)&gt;=N($G$2),N(H$2)&lt;=N($D79)),H$2,"")</f>
        <v/>
      </c>
      <c r="I79" s="25">
        <f>IF(AND(ISNUMBER($D79),N(I$2)&gt;=N($G$2),N(I$2)&lt;=N($D79)),I$2,"")</f>
        <v/>
      </c>
      <c r="J79" s="25">
        <f>IF(AND(ISNUMBER($D79),N(J$2)&gt;=N($G$2),N(J$2)&lt;=N($D79)),J$2,"")</f>
        <v/>
      </c>
      <c r="K79" s="25">
        <f>IF(AND(ISNUMBER($D79),N(K$2)&gt;=N($G$2),N(K$2)&lt;=N($D79)),K$2,"")</f>
        <v/>
      </c>
      <c r="L79" s="25">
        <f>IF(AND(ISNUMBER($D79),N(L$2)&gt;=N($G$2),N(L$2)&lt;=N($D79)),L$2,"")</f>
        <v/>
      </c>
      <c r="M79" s="25">
        <f>IF(AND(ISNUMBER($D79),N(M$2)&gt;=N($G$2),N(M$2)&lt;=N($D79)),M$2,"")</f>
        <v/>
      </c>
      <c r="N79" s="25">
        <f>IF(AND(ISNUMBER($D79),N(N$2)&gt;=N($G$2),N(N$2)&lt;=N($D79)),N$2,"")</f>
        <v/>
      </c>
      <c r="O79" s="25">
        <f>IF(AND(ISNUMBER($D79),N(O$2)&gt;=N($G$2),N(O$2)&lt;=N($D79)),O$2,"")</f>
        <v/>
      </c>
      <c r="P79" s="25">
        <f>IF(AND(ISNUMBER($D79),N(P$2)&gt;=N($G$2),N(P$2)&lt;=N($D79)),P$2,"")</f>
        <v/>
      </c>
      <c r="Q79" s="25">
        <f>IF(AND(ISNUMBER($D79),N(Q$2)&gt;=N($G$2),N(Q$2)&lt;=N($D79)),Q$2,"")</f>
        <v/>
      </c>
      <c r="R79" s="25">
        <f>IF(AND(ISNUMBER($D79),N(R$2)&gt;=N($G$2),N(R$2)&lt;=N($D79)),R$2,"")</f>
        <v/>
      </c>
      <c r="S79" s="25">
        <f>IF(AND(ISNUMBER($D79),N(S$2)&gt;=N($G$2),N(S$2)&lt;=N($D79)),S$2,"")</f>
        <v/>
      </c>
      <c r="T79" s="25">
        <f>IF(AND(ISNUMBER($D79),N(T$2)&gt;=N($G$2),N(T$2)&lt;=N($D79)),T$2,"")</f>
        <v/>
      </c>
      <c r="U79" s="25">
        <f>IF(AND(ISNUMBER($D79),N(U$2)&gt;=N($G$2),N(U$2)&lt;=N($D79)),U$2,"")</f>
        <v/>
      </c>
      <c r="V79" s="25">
        <f>IF(AND(ISNUMBER($D79),N(V$2)&gt;=N($G$2),N(V$2)&lt;=N($D79)),V$2,"")</f>
        <v/>
      </c>
      <c r="W79" s="25">
        <f>IF(AND(ISNUMBER($D79),N(W$2)&gt;=N($G$2),N(W$2)&lt;=N($D79)),W$2,"")</f>
        <v/>
      </c>
      <c r="X79" s="25">
        <f>IF(AND(ISNUMBER($D79),N(X$2)&gt;=N($G$2),N(X$2)&lt;=N($D79)),X$2,"")</f>
        <v/>
      </c>
      <c r="Y79" s="25">
        <f>IF(AND(ISNUMBER($D79),N(Y$2)&gt;=N($G$2),N(Y$2)&lt;=N($D79)),Y$2,"")</f>
        <v/>
      </c>
      <c r="Z79" s="25">
        <f>IF(AND(ISNUMBER($D79),N(Z$2)&gt;=N($G$2),N(Z$2)&lt;=N($D79)),Z$2,"")</f>
        <v/>
      </c>
      <c r="AA79" s="25">
        <f>IF(AND(ISNUMBER($D79),N(AA$2)&gt;=N($G$2),N(AA$2)&lt;=N($D79)),AA$2,"")</f>
        <v/>
      </c>
      <c r="AB79" s="25">
        <f>IF(AND(ISNUMBER($D79),N(AB$2)&gt;=N($G$2),N(AB$2)&lt;=N($D79)),AB$2,"")</f>
        <v/>
      </c>
      <c r="AC79" s="25">
        <f>IF(AND(ISNUMBER($D79),N(AC$2)&gt;=N($G$2),N(AC$2)&lt;=N($D79)),AC$2,"")</f>
        <v/>
      </c>
      <c r="AD79" s="25">
        <f>IF(AND(ISNUMBER($D79),N(AD$2)&gt;=N($G$2),N(AD$2)&lt;=N($D79)),AD$2,"")</f>
        <v/>
      </c>
      <c r="AE79" s="25">
        <f>IF(AND(ISNUMBER($D79),N(AE$2)&gt;=N($G$2),N(AE$2)&lt;=N($D79)),AE$2,"")</f>
        <v/>
      </c>
      <c r="AF79" s="25">
        <f>IF(AND(ISNUMBER($D79),N(AF$2)&gt;=N($G$2),N(AF$2)&lt;=N($D79)),AF$2,"")</f>
        <v/>
      </c>
      <c r="AG79" s="25">
        <f>IF(AND(ISNUMBER($D79),N(AG$2)&gt;=N($G$2),N(AG$2)&lt;=N($D79)),AG$2,"")</f>
        <v/>
      </c>
      <c r="AH79" s="25">
        <f>IF(AND(ISNUMBER($D79),N(AH$2)&gt;=N($G$2),N(AH$2)&lt;=N($D79)),AH$2,"")</f>
        <v/>
      </c>
      <c r="AI79" s="25">
        <f>IF(AND(ISNUMBER($D79),N(AI$2)&gt;=N($G$2),N(AI$2)&lt;=N($D79)),AI$2,"")</f>
        <v/>
      </c>
      <c r="AJ79" s="25">
        <f>IF(AND(ISNUMBER($D79),N(AJ$2)&gt;=N($G$2),N(AJ$2)&lt;=N($D79)),AJ$2,"")</f>
        <v/>
      </c>
      <c r="AK79" s="25">
        <f>IF(AND(ISNUMBER($D79),N(AK$2)&gt;=N($G$2),N(AK$2)&lt;=N($D79)),AK$2,"")</f>
        <v/>
      </c>
      <c r="AL79" s="25">
        <f>IF(AND(ISNUMBER($D79),N(AL$2)&gt;=N($G$2),N(AL$2)&lt;=N($D79)),AL$2,"")</f>
        <v/>
      </c>
      <c r="AM79" s="25">
        <f>IF(AND(ISNUMBER($D79),N(AM$2)&gt;=N($G$2),N(AM$2)&lt;=N($D79)),AM$2,"")</f>
        <v/>
      </c>
      <c r="AN79" s="25">
        <f>IF(AND(ISNUMBER($D79),N(AN$2)&gt;=N($G$2),N(AN$2)&lt;=N($D79)),AN$2,"")</f>
        <v/>
      </c>
      <c r="AO79" s="25">
        <f>IF(AND(ISNUMBER($D79),N(AO$2)&gt;=N($G$2),N(AO$2)&lt;=N($D79)),AO$2,"")</f>
        <v/>
      </c>
      <c r="AP79" s="25">
        <f>IF(AND(ISNUMBER($D79),N(AP$2)&gt;=N($G$2),N(AP$2)&lt;=N($D79)),AP$2,"")</f>
        <v/>
      </c>
      <c r="AQ79" s="25">
        <f>IF(AND(ISNUMBER($D79),N(AQ$2)&gt;=N($G$2),N(AQ$2)&lt;=N($D79)),AQ$2,"")</f>
        <v/>
      </c>
      <c r="AR79" s="25">
        <f>IF(AND(ISNUMBER($D79),N(AR$2)&gt;=N($G$2),N(AR$2)&lt;=N($D79)),AR$2,"")</f>
        <v/>
      </c>
      <c r="AS79" s="25">
        <f>IF(AND(ISNUMBER($D79),N(AS$2)&gt;=N($G$2),N(AS$2)&lt;=N($D79)),AS$2,"")</f>
        <v/>
      </c>
      <c r="AT79" s="25">
        <f>IF(AND(ISNUMBER($D79),N(AT$2)&gt;=N($G$2),N(AT$2)&lt;=N($D79)),AT$2,"")</f>
        <v/>
      </c>
      <c r="AU79" s="25">
        <f>IF(AND(ISNUMBER($D79),N(AU$2)&gt;=N($G$2),N(AU$2)&lt;=N($D79)),AU$2,"")</f>
        <v/>
      </c>
      <c r="AV79" s="25">
        <f>IF(AND(ISNUMBER($D79),N(AV$2)&gt;=N($G$2),N(AV$2)&lt;=N($D79)),AV$2,"")</f>
        <v/>
      </c>
      <c r="AW79" s="25">
        <f>IF(AND(ISNUMBER($D79),N(AW$2)&gt;=N($G$2),N(AW$2)&lt;=N($D79)),AW$2,"")</f>
        <v/>
      </c>
      <c r="AX79" s="25">
        <f>IF(AND(ISNUMBER($D79),N(AX$2)&gt;=N($G$2),N(AX$2)&lt;=N($D79)),AX$2,"")</f>
        <v/>
      </c>
      <c r="AY79" s="25">
        <f>IF(AND(ISNUMBER($D79),N(AY$2)&gt;=N($G$2),N(AY$2)&lt;=N($D79)),AY$2,"")</f>
        <v/>
      </c>
      <c r="AZ79" s="25">
        <f>IF(AND(ISNUMBER($D79),N(AZ$2)&gt;=N($G$2),N(AZ$2)&lt;=N($D79)),AZ$2,"")</f>
        <v/>
      </c>
      <c r="BA79" s="25">
        <f>IF(AND(ISNUMBER($D79),N(BA$2)&gt;=N($G$2),N(BA$2)&lt;=N($D79)),BA$2,"")</f>
        <v/>
      </c>
      <c r="BB79" s="25">
        <f>IF(AND(ISNUMBER($D79),N(BB$2)&gt;=N($G$2),N(BB$2)&lt;=N($D79)),BB$2,"")</f>
        <v/>
      </c>
      <c r="BC79" s="25">
        <f>IF(AND(ISNUMBER($D79),N(BC$2)&gt;=N($G$2),N(BC$2)&lt;=N($D79)),BC$2,"")</f>
        <v/>
      </c>
      <c r="BD79" s="25">
        <f>IF(AND(ISNUMBER($D79),N(BD$2)&gt;=N($G$2),N(BD$2)&lt;=N($D79)),BD$2,"")</f>
        <v/>
      </c>
      <c r="BE79" s="25">
        <f>IF(AND(ISNUMBER($D79),N(BE$2)&gt;=N($G$2),N(BE$2)&lt;=N($D79)),BE$2,"")</f>
        <v/>
      </c>
      <c r="BF79" s="25">
        <f>IF(AND(ISNUMBER($D79),N(BF$2)&gt;=N($G$2),N(BF$2)&lt;=N($D79)),BF$2,"")</f>
        <v/>
      </c>
      <c r="BG79" s="25">
        <f>IF(AND(ISNUMBER($D79),N(BG$2)&gt;=N($G$2),N(BG$2)&lt;=N($D79)),BG$2,"")</f>
        <v/>
      </c>
      <c r="BH79" s="25">
        <f>IF(AND(ISNUMBER($D79),N(BH$2)&gt;=N($G$2),N(BH$2)&lt;=N($D79)),BH$2,"")</f>
        <v/>
      </c>
      <c r="BI79" s="25">
        <f>IF(AND(ISNUMBER($D79),N(BI$2)&gt;=N($G$2),N(BI$2)&lt;=N($D79)),BI$2,"")</f>
        <v/>
      </c>
      <c r="BJ79" s="25">
        <f>IF(AND(ISNUMBER($D79),N(BJ$2)&gt;=N($G$2),N(BJ$2)&lt;=N($D79)),BJ$2,"")</f>
        <v/>
      </c>
      <c r="BK79" s="25">
        <f>IF(AND(ISNUMBER($D79),N(BK$2)&gt;=N($G$2),N(BK$2)&lt;=N($D79)),BK$2,"")</f>
        <v/>
      </c>
      <c r="BL79" s="25">
        <f>IF(AND(ISNUMBER($D79),N(BL$2)&gt;=N($G$2),N(BL$2)&lt;=N($D79)),BL$2,"")</f>
        <v/>
      </c>
      <c r="BM79" s="25">
        <f>IF(AND(ISNUMBER($D79),N(BM$2)&gt;=N($G$2),N(BM$2)&lt;=N($D79)),BM$2,"")</f>
        <v/>
      </c>
      <c r="BN79" s="25">
        <f>IF(AND(ISNUMBER($D79),N(BN$2)&gt;=N($G$2),N(BN$2)&lt;=N($D79)),BN$2,"")</f>
        <v/>
      </c>
      <c r="BO79" s="25">
        <f>IF(AND(ISNUMBER($D79),N(BO$2)&gt;=N($G$2),N(BO$2)&lt;=N($D79)),BO$2,"")</f>
        <v/>
      </c>
    </row>
    <row r="80" ht="20" customHeight="1">
      <c r="A80" s="26" t="inlineStr">
        <is>
          <t>实际</t>
        </is>
      </c>
      <c r="B80" s="26" t="inlineStr">
        <is>
          <t>第二期</t>
        </is>
      </c>
      <c r="C80" s="27" t="inlineStr">
        <is>
          <t>PAB220·零件到位</t>
        </is>
      </c>
      <c r="D80" s="28">
        <f>'时间节点计划表'!E40</f>
        <v/>
      </c>
      <c r="E80" s="28">
        <f>IF(COUNT('时间节点计划表'!F40),'时间节点计划表'!F40,"")</f>
        <v/>
      </c>
      <c r="F80" s="29">
        <f>IF(OR(D80="",E80=""),"待填",E80-D80)</f>
        <v/>
      </c>
      <c r="G80" s="25">
        <f>IF(AND(ISNUMBER($E80),N(G$2)&gt;=N($G$2),N(G$2)&lt;=N($E80)),G$2,"")</f>
        <v/>
      </c>
      <c r="H80" s="25">
        <f>IF(AND(ISNUMBER($E80),N(H$2)&gt;=N($G$2),N(H$2)&lt;=N($E80)),H$2,"")</f>
        <v/>
      </c>
      <c r="I80" s="25">
        <f>IF(AND(ISNUMBER($E80),N(I$2)&gt;=N($G$2),N(I$2)&lt;=N($E80)),I$2,"")</f>
        <v/>
      </c>
      <c r="J80" s="25">
        <f>IF(AND(ISNUMBER($E80),N(J$2)&gt;=N($G$2),N(J$2)&lt;=N($E80)),J$2,"")</f>
        <v/>
      </c>
      <c r="K80" s="25">
        <f>IF(AND(ISNUMBER($E80),N(K$2)&gt;=N($G$2),N(K$2)&lt;=N($E80)),K$2,"")</f>
        <v/>
      </c>
      <c r="L80" s="25">
        <f>IF(AND(ISNUMBER($E80),N(L$2)&gt;=N($G$2),N(L$2)&lt;=N($E80)),L$2,"")</f>
        <v/>
      </c>
      <c r="M80" s="25">
        <f>IF(AND(ISNUMBER($E80),N(M$2)&gt;=N($G$2),N(M$2)&lt;=N($E80)),M$2,"")</f>
        <v/>
      </c>
      <c r="N80" s="25">
        <f>IF(AND(ISNUMBER($E80),N(N$2)&gt;=N($G$2),N(N$2)&lt;=N($E80)),N$2,"")</f>
        <v/>
      </c>
      <c r="O80" s="25">
        <f>IF(AND(ISNUMBER($E80),N(O$2)&gt;=N($G$2),N(O$2)&lt;=N($E80)),O$2,"")</f>
        <v/>
      </c>
      <c r="P80" s="25">
        <f>IF(AND(ISNUMBER($E80),N(P$2)&gt;=N($G$2),N(P$2)&lt;=N($E80)),P$2,"")</f>
        <v/>
      </c>
      <c r="Q80" s="25">
        <f>IF(AND(ISNUMBER($E80),N(Q$2)&gt;=N($G$2),N(Q$2)&lt;=N($E80)),Q$2,"")</f>
        <v/>
      </c>
      <c r="R80" s="25">
        <f>IF(AND(ISNUMBER($E80),N(R$2)&gt;=N($G$2),N(R$2)&lt;=N($E80)),R$2,"")</f>
        <v/>
      </c>
      <c r="S80" s="25">
        <f>IF(AND(ISNUMBER($E80),N(S$2)&gt;=N($G$2),N(S$2)&lt;=N($E80)),S$2,"")</f>
        <v/>
      </c>
      <c r="T80" s="25">
        <f>IF(AND(ISNUMBER($E80),N(T$2)&gt;=N($G$2),N(T$2)&lt;=N($E80)),T$2,"")</f>
        <v/>
      </c>
      <c r="U80" s="25">
        <f>IF(AND(ISNUMBER($E80),N(U$2)&gt;=N($G$2),N(U$2)&lt;=N($E80)),U$2,"")</f>
        <v/>
      </c>
      <c r="V80" s="25">
        <f>IF(AND(ISNUMBER($E80),N(V$2)&gt;=N($G$2),N(V$2)&lt;=N($E80)),V$2,"")</f>
        <v/>
      </c>
      <c r="W80" s="25">
        <f>IF(AND(ISNUMBER($E80),N(W$2)&gt;=N($G$2),N(W$2)&lt;=N($E80)),W$2,"")</f>
        <v/>
      </c>
      <c r="X80" s="25">
        <f>IF(AND(ISNUMBER($E80),N(X$2)&gt;=N($G$2),N(X$2)&lt;=N($E80)),X$2,"")</f>
        <v/>
      </c>
      <c r="Y80" s="25">
        <f>IF(AND(ISNUMBER($E80),N(Y$2)&gt;=N($G$2),N(Y$2)&lt;=N($E80)),Y$2,"")</f>
        <v/>
      </c>
      <c r="Z80" s="25">
        <f>IF(AND(ISNUMBER($E80),N(Z$2)&gt;=N($G$2),N(Z$2)&lt;=N($E80)),Z$2,"")</f>
        <v/>
      </c>
      <c r="AA80" s="25">
        <f>IF(AND(ISNUMBER($E80),N(AA$2)&gt;=N($G$2),N(AA$2)&lt;=N($E80)),AA$2,"")</f>
        <v/>
      </c>
      <c r="AB80" s="25">
        <f>IF(AND(ISNUMBER($E80),N(AB$2)&gt;=N($G$2),N(AB$2)&lt;=N($E80)),AB$2,"")</f>
        <v/>
      </c>
      <c r="AC80" s="25">
        <f>IF(AND(ISNUMBER($E80),N(AC$2)&gt;=N($G$2),N(AC$2)&lt;=N($E80)),AC$2,"")</f>
        <v/>
      </c>
      <c r="AD80" s="25">
        <f>IF(AND(ISNUMBER($E80),N(AD$2)&gt;=N($G$2),N(AD$2)&lt;=N($E80)),AD$2,"")</f>
        <v/>
      </c>
      <c r="AE80" s="25">
        <f>IF(AND(ISNUMBER($E80),N(AE$2)&gt;=N($G$2),N(AE$2)&lt;=N($E80)),AE$2,"")</f>
        <v/>
      </c>
      <c r="AF80" s="25">
        <f>IF(AND(ISNUMBER($E80),N(AF$2)&gt;=N($G$2),N(AF$2)&lt;=N($E80)),AF$2,"")</f>
        <v/>
      </c>
      <c r="AG80" s="25">
        <f>IF(AND(ISNUMBER($E80),N(AG$2)&gt;=N($G$2),N(AG$2)&lt;=N($E80)),AG$2,"")</f>
        <v/>
      </c>
      <c r="AH80" s="25">
        <f>IF(AND(ISNUMBER($E80),N(AH$2)&gt;=N($G$2),N(AH$2)&lt;=N($E80)),AH$2,"")</f>
        <v/>
      </c>
      <c r="AI80" s="25">
        <f>IF(AND(ISNUMBER($E80),N(AI$2)&gt;=N($G$2),N(AI$2)&lt;=N($E80)),AI$2,"")</f>
        <v/>
      </c>
      <c r="AJ80" s="25">
        <f>IF(AND(ISNUMBER($E80),N(AJ$2)&gt;=N($G$2),N(AJ$2)&lt;=N($E80)),AJ$2,"")</f>
        <v/>
      </c>
      <c r="AK80" s="25">
        <f>IF(AND(ISNUMBER($E80),N(AK$2)&gt;=N($G$2),N(AK$2)&lt;=N($E80)),AK$2,"")</f>
        <v/>
      </c>
      <c r="AL80" s="25">
        <f>IF(AND(ISNUMBER($E80),N(AL$2)&gt;=N($G$2),N(AL$2)&lt;=N($E80)),AL$2,"")</f>
        <v/>
      </c>
      <c r="AM80" s="25">
        <f>IF(AND(ISNUMBER($E80),N(AM$2)&gt;=N($G$2),N(AM$2)&lt;=N($E80)),AM$2,"")</f>
        <v/>
      </c>
      <c r="AN80" s="25">
        <f>IF(AND(ISNUMBER($E80),N(AN$2)&gt;=N($G$2),N(AN$2)&lt;=N($E80)),AN$2,"")</f>
        <v/>
      </c>
      <c r="AO80" s="25">
        <f>IF(AND(ISNUMBER($E80),N(AO$2)&gt;=N($G$2),N(AO$2)&lt;=N($E80)),AO$2,"")</f>
        <v/>
      </c>
      <c r="AP80" s="25">
        <f>IF(AND(ISNUMBER($E80),N(AP$2)&gt;=N($G$2),N(AP$2)&lt;=N($E80)),AP$2,"")</f>
        <v/>
      </c>
      <c r="AQ80" s="25">
        <f>IF(AND(ISNUMBER($E80),N(AQ$2)&gt;=N($G$2),N(AQ$2)&lt;=N($E80)),AQ$2,"")</f>
        <v/>
      </c>
      <c r="AR80" s="25">
        <f>IF(AND(ISNUMBER($E80),N(AR$2)&gt;=N($G$2),N(AR$2)&lt;=N($E80)),AR$2,"")</f>
        <v/>
      </c>
      <c r="AS80" s="25">
        <f>IF(AND(ISNUMBER($E80),N(AS$2)&gt;=N($G$2),N(AS$2)&lt;=N($E80)),AS$2,"")</f>
        <v/>
      </c>
      <c r="AT80" s="25">
        <f>IF(AND(ISNUMBER($E80),N(AT$2)&gt;=N($G$2),N(AT$2)&lt;=N($E80)),AT$2,"")</f>
        <v/>
      </c>
      <c r="AU80" s="25">
        <f>IF(AND(ISNUMBER($E80),N(AU$2)&gt;=N($G$2),N(AU$2)&lt;=N($E80)),AU$2,"")</f>
        <v/>
      </c>
      <c r="AV80" s="25">
        <f>IF(AND(ISNUMBER($E80),N(AV$2)&gt;=N($G$2),N(AV$2)&lt;=N($E80)),AV$2,"")</f>
        <v/>
      </c>
      <c r="AW80" s="25">
        <f>IF(AND(ISNUMBER($E80),N(AW$2)&gt;=N($G$2),N(AW$2)&lt;=N($E80)),AW$2,"")</f>
        <v/>
      </c>
      <c r="AX80" s="25">
        <f>IF(AND(ISNUMBER($E80),N(AX$2)&gt;=N($G$2),N(AX$2)&lt;=N($E80)),AX$2,"")</f>
        <v/>
      </c>
      <c r="AY80" s="25">
        <f>IF(AND(ISNUMBER($E80),N(AY$2)&gt;=N($G$2),N(AY$2)&lt;=N($E80)),AY$2,"")</f>
        <v/>
      </c>
      <c r="AZ80" s="25">
        <f>IF(AND(ISNUMBER($E80),N(AZ$2)&gt;=N($G$2),N(AZ$2)&lt;=N($E80)),AZ$2,"")</f>
        <v/>
      </c>
      <c r="BA80" s="25">
        <f>IF(AND(ISNUMBER($E80),N(BA$2)&gt;=N($G$2),N(BA$2)&lt;=N($E80)),BA$2,"")</f>
        <v/>
      </c>
      <c r="BB80" s="25">
        <f>IF(AND(ISNUMBER($E80),N(BB$2)&gt;=N($G$2),N(BB$2)&lt;=N($E80)),BB$2,"")</f>
        <v/>
      </c>
      <c r="BC80" s="25">
        <f>IF(AND(ISNUMBER($E80),N(BC$2)&gt;=N($G$2),N(BC$2)&lt;=N($E80)),BC$2,"")</f>
        <v/>
      </c>
      <c r="BD80" s="25">
        <f>IF(AND(ISNUMBER($E80),N(BD$2)&gt;=N($G$2),N(BD$2)&lt;=N($E80)),BD$2,"")</f>
        <v/>
      </c>
      <c r="BE80" s="25">
        <f>IF(AND(ISNUMBER($E80),N(BE$2)&gt;=N($G$2),N(BE$2)&lt;=N($E80)),BE$2,"")</f>
        <v/>
      </c>
      <c r="BF80" s="25">
        <f>IF(AND(ISNUMBER($E80),N(BF$2)&gt;=N($G$2),N(BF$2)&lt;=N($E80)),BF$2,"")</f>
        <v/>
      </c>
      <c r="BG80" s="25">
        <f>IF(AND(ISNUMBER($E80),N(BG$2)&gt;=N($G$2),N(BG$2)&lt;=N($E80)),BG$2,"")</f>
        <v/>
      </c>
      <c r="BH80" s="25">
        <f>IF(AND(ISNUMBER($E80),N(BH$2)&gt;=N($G$2),N(BH$2)&lt;=N($E80)),BH$2,"")</f>
        <v/>
      </c>
      <c r="BI80" s="25">
        <f>IF(AND(ISNUMBER($E80),N(BI$2)&gt;=N($G$2),N(BI$2)&lt;=N($E80)),BI$2,"")</f>
        <v/>
      </c>
      <c r="BJ80" s="25">
        <f>IF(AND(ISNUMBER($E80),N(BJ$2)&gt;=N($G$2),N(BJ$2)&lt;=N($E80)),BJ$2,"")</f>
        <v/>
      </c>
      <c r="BK80" s="25">
        <f>IF(AND(ISNUMBER($E80),N(BK$2)&gt;=N($G$2),N(BK$2)&lt;=N($E80)),BK$2,"")</f>
        <v/>
      </c>
      <c r="BL80" s="25">
        <f>IF(AND(ISNUMBER($E80),N(BL$2)&gt;=N($G$2),N(BL$2)&lt;=N($E80)),BL$2,"")</f>
        <v/>
      </c>
      <c r="BM80" s="25">
        <f>IF(AND(ISNUMBER($E80),N(BM$2)&gt;=N($G$2),N(BM$2)&lt;=N($E80)),BM$2,"")</f>
        <v/>
      </c>
      <c r="BN80" s="25">
        <f>IF(AND(ISNUMBER($E80),N(BN$2)&gt;=N($G$2),N(BN$2)&lt;=N($E80)),BN$2,"")</f>
        <v/>
      </c>
      <c r="BO80" s="25">
        <f>IF(AND(ISNUMBER($E80),N(BO$2)&gt;=N($G$2),N(BO$2)&lt;=N($E80)),BO$2,"")</f>
        <v/>
      </c>
    </row>
    <row r="81" ht="20" customHeight="1">
      <c r="A81" s="21" t="inlineStr">
        <is>
          <t>预估</t>
        </is>
      </c>
      <c r="B81" s="21" t="inlineStr">
        <is>
          <t>第二期</t>
        </is>
      </c>
      <c r="C81" s="22" t="inlineStr">
        <is>
          <t>PAB220·工装图纸绘制</t>
        </is>
      </c>
      <c r="D81" s="23">
        <f>'时间节点计划表'!E41</f>
        <v/>
      </c>
      <c r="E81" s="23">
        <f>IF(COUNT('时间节点计划表'!F41),'时间节点计划表'!F41,"")</f>
        <v/>
      </c>
      <c r="F81" s="24" t="inlineStr"/>
      <c r="G81" s="25">
        <f>IF(AND(ISNUMBER($D81),N(G$2)&gt;=N($G$2),N(G$2)&lt;=N($D81)),G$2,"")</f>
        <v/>
      </c>
      <c r="H81" s="25">
        <f>IF(AND(ISNUMBER($D81),N(H$2)&gt;=N($G$2),N(H$2)&lt;=N($D81)),H$2,"")</f>
        <v/>
      </c>
      <c r="I81" s="25">
        <f>IF(AND(ISNUMBER($D81),N(I$2)&gt;=N($G$2),N(I$2)&lt;=N($D81)),I$2,"")</f>
        <v/>
      </c>
      <c r="J81" s="25">
        <f>IF(AND(ISNUMBER($D81),N(J$2)&gt;=N($G$2),N(J$2)&lt;=N($D81)),J$2,"")</f>
        <v/>
      </c>
      <c r="K81" s="25">
        <f>IF(AND(ISNUMBER($D81),N(K$2)&gt;=N($G$2),N(K$2)&lt;=N($D81)),K$2,"")</f>
        <v/>
      </c>
      <c r="L81" s="25">
        <f>IF(AND(ISNUMBER($D81),N(L$2)&gt;=N($G$2),N(L$2)&lt;=N($D81)),L$2,"")</f>
        <v/>
      </c>
      <c r="M81" s="25">
        <f>IF(AND(ISNUMBER($D81),N(M$2)&gt;=N($G$2),N(M$2)&lt;=N($D81)),M$2,"")</f>
        <v/>
      </c>
      <c r="N81" s="25">
        <f>IF(AND(ISNUMBER($D81),N(N$2)&gt;=N($G$2),N(N$2)&lt;=N($D81)),N$2,"")</f>
        <v/>
      </c>
      <c r="O81" s="25">
        <f>IF(AND(ISNUMBER($D81),N(O$2)&gt;=N($G$2),N(O$2)&lt;=N($D81)),O$2,"")</f>
        <v/>
      </c>
      <c r="P81" s="25">
        <f>IF(AND(ISNUMBER($D81),N(P$2)&gt;=N($G$2),N(P$2)&lt;=N($D81)),P$2,"")</f>
        <v/>
      </c>
      <c r="Q81" s="25">
        <f>IF(AND(ISNUMBER($D81),N(Q$2)&gt;=N($G$2),N(Q$2)&lt;=N($D81)),Q$2,"")</f>
        <v/>
      </c>
      <c r="R81" s="25">
        <f>IF(AND(ISNUMBER($D81),N(R$2)&gt;=N($G$2),N(R$2)&lt;=N($D81)),R$2,"")</f>
        <v/>
      </c>
      <c r="S81" s="25">
        <f>IF(AND(ISNUMBER($D81),N(S$2)&gt;=N($G$2),N(S$2)&lt;=N($D81)),S$2,"")</f>
        <v/>
      </c>
      <c r="T81" s="25">
        <f>IF(AND(ISNUMBER($D81),N(T$2)&gt;=N($G$2),N(T$2)&lt;=N($D81)),T$2,"")</f>
        <v/>
      </c>
      <c r="U81" s="25">
        <f>IF(AND(ISNUMBER($D81),N(U$2)&gt;=N($G$2),N(U$2)&lt;=N($D81)),U$2,"")</f>
        <v/>
      </c>
      <c r="V81" s="25">
        <f>IF(AND(ISNUMBER($D81),N(V$2)&gt;=N($G$2),N(V$2)&lt;=N($D81)),V$2,"")</f>
        <v/>
      </c>
      <c r="W81" s="25">
        <f>IF(AND(ISNUMBER($D81),N(W$2)&gt;=N($G$2),N(W$2)&lt;=N($D81)),W$2,"")</f>
        <v/>
      </c>
      <c r="X81" s="25">
        <f>IF(AND(ISNUMBER($D81),N(X$2)&gt;=N($G$2),N(X$2)&lt;=N($D81)),X$2,"")</f>
        <v/>
      </c>
      <c r="Y81" s="25">
        <f>IF(AND(ISNUMBER($D81),N(Y$2)&gt;=N($G$2),N(Y$2)&lt;=N($D81)),Y$2,"")</f>
        <v/>
      </c>
      <c r="Z81" s="25">
        <f>IF(AND(ISNUMBER($D81),N(Z$2)&gt;=N($G$2),N(Z$2)&lt;=N($D81)),Z$2,"")</f>
        <v/>
      </c>
      <c r="AA81" s="25">
        <f>IF(AND(ISNUMBER($D81),N(AA$2)&gt;=N($G$2),N(AA$2)&lt;=N($D81)),AA$2,"")</f>
        <v/>
      </c>
      <c r="AB81" s="25">
        <f>IF(AND(ISNUMBER($D81),N(AB$2)&gt;=N($G$2),N(AB$2)&lt;=N($D81)),AB$2,"")</f>
        <v/>
      </c>
      <c r="AC81" s="25">
        <f>IF(AND(ISNUMBER($D81),N(AC$2)&gt;=N($G$2),N(AC$2)&lt;=N($D81)),AC$2,"")</f>
        <v/>
      </c>
      <c r="AD81" s="25">
        <f>IF(AND(ISNUMBER($D81),N(AD$2)&gt;=N($G$2),N(AD$2)&lt;=N($D81)),AD$2,"")</f>
        <v/>
      </c>
      <c r="AE81" s="25">
        <f>IF(AND(ISNUMBER($D81),N(AE$2)&gt;=N($G$2),N(AE$2)&lt;=N($D81)),AE$2,"")</f>
        <v/>
      </c>
      <c r="AF81" s="25">
        <f>IF(AND(ISNUMBER($D81),N(AF$2)&gt;=N($G$2),N(AF$2)&lt;=N($D81)),AF$2,"")</f>
        <v/>
      </c>
      <c r="AG81" s="25">
        <f>IF(AND(ISNUMBER($D81),N(AG$2)&gt;=N($G$2),N(AG$2)&lt;=N($D81)),AG$2,"")</f>
        <v/>
      </c>
      <c r="AH81" s="25">
        <f>IF(AND(ISNUMBER($D81),N(AH$2)&gt;=N($G$2),N(AH$2)&lt;=N($D81)),AH$2,"")</f>
        <v/>
      </c>
      <c r="AI81" s="25">
        <f>IF(AND(ISNUMBER($D81),N(AI$2)&gt;=N($G$2),N(AI$2)&lt;=N($D81)),AI$2,"")</f>
        <v/>
      </c>
      <c r="AJ81" s="25">
        <f>IF(AND(ISNUMBER($D81),N(AJ$2)&gt;=N($G$2),N(AJ$2)&lt;=N($D81)),AJ$2,"")</f>
        <v/>
      </c>
      <c r="AK81" s="25">
        <f>IF(AND(ISNUMBER($D81),N(AK$2)&gt;=N($G$2),N(AK$2)&lt;=N($D81)),AK$2,"")</f>
        <v/>
      </c>
      <c r="AL81" s="25">
        <f>IF(AND(ISNUMBER($D81),N(AL$2)&gt;=N($G$2),N(AL$2)&lt;=N($D81)),AL$2,"")</f>
        <v/>
      </c>
      <c r="AM81" s="25">
        <f>IF(AND(ISNUMBER($D81),N(AM$2)&gt;=N($G$2),N(AM$2)&lt;=N($D81)),AM$2,"")</f>
        <v/>
      </c>
      <c r="AN81" s="25">
        <f>IF(AND(ISNUMBER($D81),N(AN$2)&gt;=N($G$2),N(AN$2)&lt;=N($D81)),AN$2,"")</f>
        <v/>
      </c>
      <c r="AO81" s="25">
        <f>IF(AND(ISNUMBER($D81),N(AO$2)&gt;=N($G$2),N(AO$2)&lt;=N($D81)),AO$2,"")</f>
        <v/>
      </c>
      <c r="AP81" s="25">
        <f>IF(AND(ISNUMBER($D81),N(AP$2)&gt;=N($G$2),N(AP$2)&lt;=N($D81)),AP$2,"")</f>
        <v/>
      </c>
      <c r="AQ81" s="25">
        <f>IF(AND(ISNUMBER($D81),N(AQ$2)&gt;=N($G$2),N(AQ$2)&lt;=N($D81)),AQ$2,"")</f>
        <v/>
      </c>
      <c r="AR81" s="25">
        <f>IF(AND(ISNUMBER($D81),N(AR$2)&gt;=N($G$2),N(AR$2)&lt;=N($D81)),AR$2,"")</f>
        <v/>
      </c>
      <c r="AS81" s="25">
        <f>IF(AND(ISNUMBER($D81),N(AS$2)&gt;=N($G$2),N(AS$2)&lt;=N($D81)),AS$2,"")</f>
        <v/>
      </c>
      <c r="AT81" s="25">
        <f>IF(AND(ISNUMBER($D81),N(AT$2)&gt;=N($G$2),N(AT$2)&lt;=N($D81)),AT$2,"")</f>
        <v/>
      </c>
      <c r="AU81" s="25">
        <f>IF(AND(ISNUMBER($D81),N(AU$2)&gt;=N($G$2),N(AU$2)&lt;=N($D81)),AU$2,"")</f>
        <v/>
      </c>
      <c r="AV81" s="25">
        <f>IF(AND(ISNUMBER($D81),N(AV$2)&gt;=N($G$2),N(AV$2)&lt;=N($D81)),AV$2,"")</f>
        <v/>
      </c>
      <c r="AW81" s="25">
        <f>IF(AND(ISNUMBER($D81),N(AW$2)&gt;=N($G$2),N(AW$2)&lt;=N($D81)),AW$2,"")</f>
        <v/>
      </c>
      <c r="AX81" s="25">
        <f>IF(AND(ISNUMBER($D81),N(AX$2)&gt;=N($G$2),N(AX$2)&lt;=N($D81)),AX$2,"")</f>
        <v/>
      </c>
      <c r="AY81" s="25">
        <f>IF(AND(ISNUMBER($D81),N(AY$2)&gt;=N($G$2),N(AY$2)&lt;=N($D81)),AY$2,"")</f>
        <v/>
      </c>
      <c r="AZ81" s="25">
        <f>IF(AND(ISNUMBER($D81),N(AZ$2)&gt;=N($G$2),N(AZ$2)&lt;=N($D81)),AZ$2,"")</f>
        <v/>
      </c>
      <c r="BA81" s="25">
        <f>IF(AND(ISNUMBER($D81),N(BA$2)&gt;=N($G$2),N(BA$2)&lt;=N($D81)),BA$2,"")</f>
        <v/>
      </c>
      <c r="BB81" s="25">
        <f>IF(AND(ISNUMBER($D81),N(BB$2)&gt;=N($G$2),N(BB$2)&lt;=N($D81)),BB$2,"")</f>
        <v/>
      </c>
      <c r="BC81" s="25">
        <f>IF(AND(ISNUMBER($D81),N(BC$2)&gt;=N($G$2),N(BC$2)&lt;=N($D81)),BC$2,"")</f>
        <v/>
      </c>
      <c r="BD81" s="25">
        <f>IF(AND(ISNUMBER($D81),N(BD$2)&gt;=N($G$2),N(BD$2)&lt;=N($D81)),BD$2,"")</f>
        <v/>
      </c>
      <c r="BE81" s="25">
        <f>IF(AND(ISNUMBER($D81),N(BE$2)&gt;=N($G$2),N(BE$2)&lt;=N($D81)),BE$2,"")</f>
        <v/>
      </c>
      <c r="BF81" s="25">
        <f>IF(AND(ISNUMBER($D81),N(BF$2)&gt;=N($G$2),N(BF$2)&lt;=N($D81)),BF$2,"")</f>
        <v/>
      </c>
      <c r="BG81" s="25">
        <f>IF(AND(ISNUMBER($D81),N(BG$2)&gt;=N($G$2),N(BG$2)&lt;=N($D81)),BG$2,"")</f>
        <v/>
      </c>
      <c r="BH81" s="25">
        <f>IF(AND(ISNUMBER($D81),N(BH$2)&gt;=N($G$2),N(BH$2)&lt;=N($D81)),BH$2,"")</f>
        <v/>
      </c>
      <c r="BI81" s="25">
        <f>IF(AND(ISNUMBER($D81),N(BI$2)&gt;=N($G$2),N(BI$2)&lt;=N($D81)),BI$2,"")</f>
        <v/>
      </c>
      <c r="BJ81" s="25">
        <f>IF(AND(ISNUMBER($D81),N(BJ$2)&gt;=N($G$2),N(BJ$2)&lt;=N($D81)),BJ$2,"")</f>
        <v/>
      </c>
      <c r="BK81" s="25">
        <f>IF(AND(ISNUMBER($D81),N(BK$2)&gt;=N($G$2),N(BK$2)&lt;=N($D81)),BK$2,"")</f>
        <v/>
      </c>
      <c r="BL81" s="25">
        <f>IF(AND(ISNUMBER($D81),N(BL$2)&gt;=N($G$2),N(BL$2)&lt;=N($D81)),BL$2,"")</f>
        <v/>
      </c>
      <c r="BM81" s="25">
        <f>IF(AND(ISNUMBER($D81),N(BM$2)&gt;=N($G$2),N(BM$2)&lt;=N($D81)),BM$2,"")</f>
        <v/>
      </c>
      <c r="BN81" s="25">
        <f>IF(AND(ISNUMBER($D81),N(BN$2)&gt;=N($G$2),N(BN$2)&lt;=N($D81)),BN$2,"")</f>
        <v/>
      </c>
      <c r="BO81" s="25">
        <f>IF(AND(ISNUMBER($D81),N(BO$2)&gt;=N($G$2),N(BO$2)&lt;=N($D81)),BO$2,"")</f>
        <v/>
      </c>
    </row>
    <row r="82" ht="20" customHeight="1">
      <c r="A82" s="26" t="inlineStr">
        <is>
          <t>实际</t>
        </is>
      </c>
      <c r="B82" s="26" t="inlineStr">
        <is>
          <t>第二期</t>
        </is>
      </c>
      <c r="C82" s="27" t="inlineStr">
        <is>
          <t>PAB220·工装图纸绘制</t>
        </is>
      </c>
      <c r="D82" s="28">
        <f>'时间节点计划表'!E41</f>
        <v/>
      </c>
      <c r="E82" s="28">
        <f>IF(COUNT('时间节点计划表'!F41),'时间节点计划表'!F41,"")</f>
        <v/>
      </c>
      <c r="F82" s="29">
        <f>IF(OR(D82="",E82=""),"待填",E82-D82)</f>
        <v/>
      </c>
      <c r="G82" s="25">
        <f>IF(AND(ISNUMBER($E82),N(G$2)&gt;=N($G$2),N(G$2)&lt;=N($E82)),G$2,"")</f>
        <v/>
      </c>
      <c r="H82" s="25">
        <f>IF(AND(ISNUMBER($E82),N(H$2)&gt;=N($G$2),N(H$2)&lt;=N($E82)),H$2,"")</f>
        <v/>
      </c>
      <c r="I82" s="25">
        <f>IF(AND(ISNUMBER($E82),N(I$2)&gt;=N($G$2),N(I$2)&lt;=N($E82)),I$2,"")</f>
        <v/>
      </c>
      <c r="J82" s="25">
        <f>IF(AND(ISNUMBER($E82),N(J$2)&gt;=N($G$2),N(J$2)&lt;=N($E82)),J$2,"")</f>
        <v/>
      </c>
      <c r="K82" s="25">
        <f>IF(AND(ISNUMBER($E82),N(K$2)&gt;=N($G$2),N(K$2)&lt;=N($E82)),K$2,"")</f>
        <v/>
      </c>
      <c r="L82" s="25">
        <f>IF(AND(ISNUMBER($E82),N(L$2)&gt;=N($G$2),N(L$2)&lt;=N($E82)),L$2,"")</f>
        <v/>
      </c>
      <c r="M82" s="25">
        <f>IF(AND(ISNUMBER($E82),N(M$2)&gt;=N($G$2),N(M$2)&lt;=N($E82)),M$2,"")</f>
        <v/>
      </c>
      <c r="N82" s="25">
        <f>IF(AND(ISNUMBER($E82),N(N$2)&gt;=N($G$2),N(N$2)&lt;=N($E82)),N$2,"")</f>
        <v/>
      </c>
      <c r="O82" s="25">
        <f>IF(AND(ISNUMBER($E82),N(O$2)&gt;=N($G$2),N(O$2)&lt;=N($E82)),O$2,"")</f>
        <v/>
      </c>
      <c r="P82" s="25">
        <f>IF(AND(ISNUMBER($E82),N(P$2)&gt;=N($G$2),N(P$2)&lt;=N($E82)),P$2,"")</f>
        <v/>
      </c>
      <c r="Q82" s="25">
        <f>IF(AND(ISNUMBER($E82),N(Q$2)&gt;=N($G$2),N(Q$2)&lt;=N($E82)),Q$2,"")</f>
        <v/>
      </c>
      <c r="R82" s="25">
        <f>IF(AND(ISNUMBER($E82),N(R$2)&gt;=N($G$2),N(R$2)&lt;=N($E82)),R$2,"")</f>
        <v/>
      </c>
      <c r="S82" s="25">
        <f>IF(AND(ISNUMBER($E82),N(S$2)&gt;=N($G$2),N(S$2)&lt;=N($E82)),S$2,"")</f>
        <v/>
      </c>
      <c r="T82" s="25">
        <f>IF(AND(ISNUMBER($E82),N(T$2)&gt;=N($G$2),N(T$2)&lt;=N($E82)),T$2,"")</f>
        <v/>
      </c>
      <c r="U82" s="25">
        <f>IF(AND(ISNUMBER($E82),N(U$2)&gt;=N($G$2),N(U$2)&lt;=N($E82)),U$2,"")</f>
        <v/>
      </c>
      <c r="V82" s="25">
        <f>IF(AND(ISNUMBER($E82),N(V$2)&gt;=N($G$2),N(V$2)&lt;=N($E82)),V$2,"")</f>
        <v/>
      </c>
      <c r="W82" s="25">
        <f>IF(AND(ISNUMBER($E82),N(W$2)&gt;=N($G$2),N(W$2)&lt;=N($E82)),W$2,"")</f>
        <v/>
      </c>
      <c r="X82" s="25">
        <f>IF(AND(ISNUMBER($E82),N(X$2)&gt;=N($G$2),N(X$2)&lt;=N($E82)),X$2,"")</f>
        <v/>
      </c>
      <c r="Y82" s="25">
        <f>IF(AND(ISNUMBER($E82),N(Y$2)&gt;=N($G$2),N(Y$2)&lt;=N($E82)),Y$2,"")</f>
        <v/>
      </c>
      <c r="Z82" s="25">
        <f>IF(AND(ISNUMBER($E82),N(Z$2)&gt;=N($G$2),N(Z$2)&lt;=N($E82)),Z$2,"")</f>
        <v/>
      </c>
      <c r="AA82" s="25">
        <f>IF(AND(ISNUMBER($E82),N(AA$2)&gt;=N($G$2),N(AA$2)&lt;=N($E82)),AA$2,"")</f>
        <v/>
      </c>
      <c r="AB82" s="25">
        <f>IF(AND(ISNUMBER($E82),N(AB$2)&gt;=N($G$2),N(AB$2)&lt;=N($E82)),AB$2,"")</f>
        <v/>
      </c>
      <c r="AC82" s="25">
        <f>IF(AND(ISNUMBER($E82),N(AC$2)&gt;=N($G$2),N(AC$2)&lt;=N($E82)),AC$2,"")</f>
        <v/>
      </c>
      <c r="AD82" s="25">
        <f>IF(AND(ISNUMBER($E82),N(AD$2)&gt;=N($G$2),N(AD$2)&lt;=N($E82)),AD$2,"")</f>
        <v/>
      </c>
      <c r="AE82" s="25">
        <f>IF(AND(ISNUMBER($E82),N(AE$2)&gt;=N($G$2),N(AE$2)&lt;=N($E82)),AE$2,"")</f>
        <v/>
      </c>
      <c r="AF82" s="25">
        <f>IF(AND(ISNUMBER($E82),N(AF$2)&gt;=N($G$2),N(AF$2)&lt;=N($E82)),AF$2,"")</f>
        <v/>
      </c>
      <c r="AG82" s="25">
        <f>IF(AND(ISNUMBER($E82),N(AG$2)&gt;=N($G$2),N(AG$2)&lt;=N($E82)),AG$2,"")</f>
        <v/>
      </c>
      <c r="AH82" s="25">
        <f>IF(AND(ISNUMBER($E82),N(AH$2)&gt;=N($G$2),N(AH$2)&lt;=N($E82)),AH$2,"")</f>
        <v/>
      </c>
      <c r="AI82" s="25">
        <f>IF(AND(ISNUMBER($E82),N(AI$2)&gt;=N($G$2),N(AI$2)&lt;=N($E82)),AI$2,"")</f>
        <v/>
      </c>
      <c r="AJ82" s="25">
        <f>IF(AND(ISNUMBER($E82),N(AJ$2)&gt;=N($G$2),N(AJ$2)&lt;=N($E82)),AJ$2,"")</f>
        <v/>
      </c>
      <c r="AK82" s="25">
        <f>IF(AND(ISNUMBER($E82),N(AK$2)&gt;=N($G$2),N(AK$2)&lt;=N($E82)),AK$2,"")</f>
        <v/>
      </c>
      <c r="AL82" s="25">
        <f>IF(AND(ISNUMBER($E82),N(AL$2)&gt;=N($G$2),N(AL$2)&lt;=N($E82)),AL$2,"")</f>
        <v/>
      </c>
      <c r="AM82" s="25">
        <f>IF(AND(ISNUMBER($E82),N(AM$2)&gt;=N($G$2),N(AM$2)&lt;=N($E82)),AM$2,"")</f>
        <v/>
      </c>
      <c r="AN82" s="25">
        <f>IF(AND(ISNUMBER($E82),N(AN$2)&gt;=N($G$2),N(AN$2)&lt;=N($E82)),AN$2,"")</f>
        <v/>
      </c>
      <c r="AO82" s="25">
        <f>IF(AND(ISNUMBER($E82),N(AO$2)&gt;=N($G$2),N(AO$2)&lt;=N($E82)),AO$2,"")</f>
        <v/>
      </c>
      <c r="AP82" s="25">
        <f>IF(AND(ISNUMBER($E82),N(AP$2)&gt;=N($G$2),N(AP$2)&lt;=N($E82)),AP$2,"")</f>
        <v/>
      </c>
      <c r="AQ82" s="25">
        <f>IF(AND(ISNUMBER($E82),N(AQ$2)&gt;=N($G$2),N(AQ$2)&lt;=N($E82)),AQ$2,"")</f>
        <v/>
      </c>
      <c r="AR82" s="25">
        <f>IF(AND(ISNUMBER($E82),N(AR$2)&gt;=N($G$2),N(AR$2)&lt;=N($E82)),AR$2,"")</f>
        <v/>
      </c>
      <c r="AS82" s="25">
        <f>IF(AND(ISNUMBER($E82),N(AS$2)&gt;=N($G$2),N(AS$2)&lt;=N($E82)),AS$2,"")</f>
        <v/>
      </c>
      <c r="AT82" s="25">
        <f>IF(AND(ISNUMBER($E82),N(AT$2)&gt;=N($G$2),N(AT$2)&lt;=N($E82)),AT$2,"")</f>
        <v/>
      </c>
      <c r="AU82" s="25">
        <f>IF(AND(ISNUMBER($E82),N(AU$2)&gt;=N($G$2),N(AU$2)&lt;=N($E82)),AU$2,"")</f>
        <v/>
      </c>
      <c r="AV82" s="25">
        <f>IF(AND(ISNUMBER($E82),N(AV$2)&gt;=N($G$2),N(AV$2)&lt;=N($E82)),AV$2,"")</f>
        <v/>
      </c>
      <c r="AW82" s="25">
        <f>IF(AND(ISNUMBER($E82),N(AW$2)&gt;=N($G$2),N(AW$2)&lt;=N($E82)),AW$2,"")</f>
        <v/>
      </c>
      <c r="AX82" s="25">
        <f>IF(AND(ISNUMBER($E82),N(AX$2)&gt;=N($G$2),N(AX$2)&lt;=N($E82)),AX$2,"")</f>
        <v/>
      </c>
      <c r="AY82" s="25">
        <f>IF(AND(ISNUMBER($E82),N(AY$2)&gt;=N($G$2),N(AY$2)&lt;=N($E82)),AY$2,"")</f>
        <v/>
      </c>
      <c r="AZ82" s="25">
        <f>IF(AND(ISNUMBER($E82),N(AZ$2)&gt;=N($G$2),N(AZ$2)&lt;=N($E82)),AZ$2,"")</f>
        <v/>
      </c>
      <c r="BA82" s="25">
        <f>IF(AND(ISNUMBER($E82),N(BA$2)&gt;=N($G$2),N(BA$2)&lt;=N($E82)),BA$2,"")</f>
        <v/>
      </c>
      <c r="BB82" s="25">
        <f>IF(AND(ISNUMBER($E82),N(BB$2)&gt;=N($G$2),N(BB$2)&lt;=N($E82)),BB$2,"")</f>
        <v/>
      </c>
      <c r="BC82" s="25">
        <f>IF(AND(ISNUMBER($E82),N(BC$2)&gt;=N($G$2),N(BC$2)&lt;=N($E82)),BC$2,"")</f>
        <v/>
      </c>
      <c r="BD82" s="25">
        <f>IF(AND(ISNUMBER($E82),N(BD$2)&gt;=N($G$2),N(BD$2)&lt;=N($E82)),BD$2,"")</f>
        <v/>
      </c>
      <c r="BE82" s="25">
        <f>IF(AND(ISNUMBER($E82),N(BE$2)&gt;=N($G$2),N(BE$2)&lt;=N($E82)),BE$2,"")</f>
        <v/>
      </c>
      <c r="BF82" s="25">
        <f>IF(AND(ISNUMBER($E82),N(BF$2)&gt;=N($G$2),N(BF$2)&lt;=N($E82)),BF$2,"")</f>
        <v/>
      </c>
      <c r="BG82" s="25">
        <f>IF(AND(ISNUMBER($E82),N(BG$2)&gt;=N($G$2),N(BG$2)&lt;=N($E82)),BG$2,"")</f>
        <v/>
      </c>
      <c r="BH82" s="25">
        <f>IF(AND(ISNUMBER($E82),N(BH$2)&gt;=N($G$2),N(BH$2)&lt;=N($E82)),BH$2,"")</f>
        <v/>
      </c>
      <c r="BI82" s="25">
        <f>IF(AND(ISNUMBER($E82),N(BI$2)&gt;=N($G$2),N(BI$2)&lt;=N($E82)),BI$2,"")</f>
        <v/>
      </c>
      <c r="BJ82" s="25">
        <f>IF(AND(ISNUMBER($E82),N(BJ$2)&gt;=N($G$2),N(BJ$2)&lt;=N($E82)),BJ$2,"")</f>
        <v/>
      </c>
      <c r="BK82" s="25">
        <f>IF(AND(ISNUMBER($E82),N(BK$2)&gt;=N($G$2),N(BK$2)&lt;=N($E82)),BK$2,"")</f>
        <v/>
      </c>
      <c r="BL82" s="25">
        <f>IF(AND(ISNUMBER($E82),N(BL$2)&gt;=N($G$2),N(BL$2)&lt;=N($E82)),BL$2,"")</f>
        <v/>
      </c>
      <c r="BM82" s="25">
        <f>IF(AND(ISNUMBER($E82),N(BM$2)&gt;=N($G$2),N(BM$2)&lt;=N($E82)),BM$2,"")</f>
        <v/>
      </c>
      <c r="BN82" s="25">
        <f>IF(AND(ISNUMBER($E82),N(BN$2)&gt;=N($G$2),N(BN$2)&lt;=N($E82)),BN$2,"")</f>
        <v/>
      </c>
      <c r="BO82" s="25">
        <f>IF(AND(ISNUMBER($E82),N(BO$2)&gt;=N($G$2),N(BO$2)&lt;=N($E82)),BO$2,"")</f>
        <v/>
      </c>
    </row>
    <row r="83" ht="20" customHeight="1">
      <c r="A83" s="21" t="inlineStr">
        <is>
          <t>预估</t>
        </is>
      </c>
      <c r="B83" s="21" t="inlineStr">
        <is>
          <t>第二期</t>
        </is>
      </c>
      <c r="C83" s="22" t="inlineStr">
        <is>
          <t>PAB220·工装实物到位</t>
        </is>
      </c>
      <c r="D83" s="23">
        <f>'时间节点计划表'!E42</f>
        <v/>
      </c>
      <c r="E83" s="23">
        <f>IF(COUNT('时间节点计划表'!F42),'时间节点计划表'!F42,"")</f>
        <v/>
      </c>
      <c r="F83" s="24" t="inlineStr"/>
      <c r="G83" s="25">
        <f>IF(AND(ISNUMBER($D83),N(G$2)&gt;=N($G$2),N(G$2)&lt;=N($D83)),G$2,"")</f>
        <v/>
      </c>
      <c r="H83" s="25">
        <f>IF(AND(ISNUMBER($D83),N(H$2)&gt;=N($G$2),N(H$2)&lt;=N($D83)),H$2,"")</f>
        <v/>
      </c>
      <c r="I83" s="25">
        <f>IF(AND(ISNUMBER($D83),N(I$2)&gt;=N($G$2),N(I$2)&lt;=N($D83)),I$2,"")</f>
        <v/>
      </c>
      <c r="J83" s="25">
        <f>IF(AND(ISNUMBER($D83),N(J$2)&gt;=N($G$2),N(J$2)&lt;=N($D83)),J$2,"")</f>
        <v/>
      </c>
      <c r="K83" s="25">
        <f>IF(AND(ISNUMBER($D83),N(K$2)&gt;=N($G$2),N(K$2)&lt;=N($D83)),K$2,"")</f>
        <v/>
      </c>
      <c r="L83" s="25">
        <f>IF(AND(ISNUMBER($D83),N(L$2)&gt;=N($G$2),N(L$2)&lt;=N($D83)),L$2,"")</f>
        <v/>
      </c>
      <c r="M83" s="25">
        <f>IF(AND(ISNUMBER($D83),N(M$2)&gt;=N($G$2),N(M$2)&lt;=N($D83)),M$2,"")</f>
        <v/>
      </c>
      <c r="N83" s="25">
        <f>IF(AND(ISNUMBER($D83),N(N$2)&gt;=N($G$2),N(N$2)&lt;=N($D83)),N$2,"")</f>
        <v/>
      </c>
      <c r="O83" s="25">
        <f>IF(AND(ISNUMBER($D83),N(O$2)&gt;=N($G$2),N(O$2)&lt;=N($D83)),O$2,"")</f>
        <v/>
      </c>
      <c r="P83" s="25">
        <f>IF(AND(ISNUMBER($D83),N(P$2)&gt;=N($G$2),N(P$2)&lt;=N($D83)),P$2,"")</f>
        <v/>
      </c>
      <c r="Q83" s="25">
        <f>IF(AND(ISNUMBER($D83),N(Q$2)&gt;=N($G$2),N(Q$2)&lt;=N($D83)),Q$2,"")</f>
        <v/>
      </c>
      <c r="R83" s="25">
        <f>IF(AND(ISNUMBER($D83),N(R$2)&gt;=N($G$2),N(R$2)&lt;=N($D83)),R$2,"")</f>
        <v/>
      </c>
      <c r="S83" s="25">
        <f>IF(AND(ISNUMBER($D83),N(S$2)&gt;=N($G$2),N(S$2)&lt;=N($D83)),S$2,"")</f>
        <v/>
      </c>
      <c r="T83" s="25">
        <f>IF(AND(ISNUMBER($D83),N(T$2)&gt;=N($G$2),N(T$2)&lt;=N($D83)),T$2,"")</f>
        <v/>
      </c>
      <c r="U83" s="25">
        <f>IF(AND(ISNUMBER($D83),N(U$2)&gt;=N($G$2),N(U$2)&lt;=N($D83)),U$2,"")</f>
        <v/>
      </c>
      <c r="V83" s="25">
        <f>IF(AND(ISNUMBER($D83),N(V$2)&gt;=N($G$2),N(V$2)&lt;=N($D83)),V$2,"")</f>
        <v/>
      </c>
      <c r="W83" s="25">
        <f>IF(AND(ISNUMBER($D83),N(W$2)&gt;=N($G$2),N(W$2)&lt;=N($D83)),W$2,"")</f>
        <v/>
      </c>
      <c r="X83" s="25">
        <f>IF(AND(ISNUMBER($D83),N(X$2)&gt;=N($G$2),N(X$2)&lt;=N($D83)),X$2,"")</f>
        <v/>
      </c>
      <c r="Y83" s="25">
        <f>IF(AND(ISNUMBER($D83),N(Y$2)&gt;=N($G$2),N(Y$2)&lt;=N($D83)),Y$2,"")</f>
        <v/>
      </c>
      <c r="Z83" s="25">
        <f>IF(AND(ISNUMBER($D83),N(Z$2)&gt;=N($G$2),N(Z$2)&lt;=N($D83)),Z$2,"")</f>
        <v/>
      </c>
      <c r="AA83" s="25">
        <f>IF(AND(ISNUMBER($D83),N(AA$2)&gt;=N($G$2),N(AA$2)&lt;=N($D83)),AA$2,"")</f>
        <v/>
      </c>
      <c r="AB83" s="25">
        <f>IF(AND(ISNUMBER($D83),N(AB$2)&gt;=N($G$2),N(AB$2)&lt;=N($D83)),AB$2,"")</f>
        <v/>
      </c>
      <c r="AC83" s="25">
        <f>IF(AND(ISNUMBER($D83),N(AC$2)&gt;=N($G$2),N(AC$2)&lt;=N($D83)),AC$2,"")</f>
        <v/>
      </c>
      <c r="AD83" s="25">
        <f>IF(AND(ISNUMBER($D83),N(AD$2)&gt;=N($G$2),N(AD$2)&lt;=N($D83)),AD$2,"")</f>
        <v/>
      </c>
      <c r="AE83" s="25">
        <f>IF(AND(ISNUMBER($D83),N(AE$2)&gt;=N($G$2),N(AE$2)&lt;=N($D83)),AE$2,"")</f>
        <v/>
      </c>
      <c r="AF83" s="25">
        <f>IF(AND(ISNUMBER($D83),N(AF$2)&gt;=N($G$2),N(AF$2)&lt;=N($D83)),AF$2,"")</f>
        <v/>
      </c>
      <c r="AG83" s="25">
        <f>IF(AND(ISNUMBER($D83),N(AG$2)&gt;=N($G$2),N(AG$2)&lt;=N($D83)),AG$2,"")</f>
        <v/>
      </c>
      <c r="AH83" s="25">
        <f>IF(AND(ISNUMBER($D83),N(AH$2)&gt;=N($G$2),N(AH$2)&lt;=N($D83)),AH$2,"")</f>
        <v/>
      </c>
      <c r="AI83" s="25">
        <f>IF(AND(ISNUMBER($D83),N(AI$2)&gt;=N($G$2),N(AI$2)&lt;=N($D83)),AI$2,"")</f>
        <v/>
      </c>
      <c r="AJ83" s="25">
        <f>IF(AND(ISNUMBER($D83),N(AJ$2)&gt;=N($G$2),N(AJ$2)&lt;=N($D83)),AJ$2,"")</f>
        <v/>
      </c>
      <c r="AK83" s="25">
        <f>IF(AND(ISNUMBER($D83),N(AK$2)&gt;=N($G$2),N(AK$2)&lt;=N($D83)),AK$2,"")</f>
        <v/>
      </c>
      <c r="AL83" s="25">
        <f>IF(AND(ISNUMBER($D83),N(AL$2)&gt;=N($G$2),N(AL$2)&lt;=N($D83)),AL$2,"")</f>
        <v/>
      </c>
      <c r="AM83" s="25">
        <f>IF(AND(ISNUMBER($D83),N(AM$2)&gt;=N($G$2),N(AM$2)&lt;=N($D83)),AM$2,"")</f>
        <v/>
      </c>
      <c r="AN83" s="25">
        <f>IF(AND(ISNUMBER($D83),N(AN$2)&gt;=N($G$2),N(AN$2)&lt;=N($D83)),AN$2,"")</f>
        <v/>
      </c>
      <c r="AO83" s="25">
        <f>IF(AND(ISNUMBER($D83),N(AO$2)&gt;=N($G$2),N(AO$2)&lt;=N($D83)),AO$2,"")</f>
        <v/>
      </c>
      <c r="AP83" s="25">
        <f>IF(AND(ISNUMBER($D83),N(AP$2)&gt;=N($G$2),N(AP$2)&lt;=N($D83)),AP$2,"")</f>
        <v/>
      </c>
      <c r="AQ83" s="25">
        <f>IF(AND(ISNUMBER($D83),N(AQ$2)&gt;=N($G$2),N(AQ$2)&lt;=N($D83)),AQ$2,"")</f>
        <v/>
      </c>
      <c r="AR83" s="25">
        <f>IF(AND(ISNUMBER($D83),N(AR$2)&gt;=N($G$2),N(AR$2)&lt;=N($D83)),AR$2,"")</f>
        <v/>
      </c>
      <c r="AS83" s="25">
        <f>IF(AND(ISNUMBER($D83),N(AS$2)&gt;=N($G$2),N(AS$2)&lt;=N($D83)),AS$2,"")</f>
        <v/>
      </c>
      <c r="AT83" s="25">
        <f>IF(AND(ISNUMBER($D83),N(AT$2)&gt;=N($G$2),N(AT$2)&lt;=N($D83)),AT$2,"")</f>
        <v/>
      </c>
      <c r="AU83" s="25">
        <f>IF(AND(ISNUMBER($D83),N(AU$2)&gt;=N($G$2),N(AU$2)&lt;=N($D83)),AU$2,"")</f>
        <v/>
      </c>
      <c r="AV83" s="25">
        <f>IF(AND(ISNUMBER($D83),N(AV$2)&gt;=N($G$2),N(AV$2)&lt;=N($D83)),AV$2,"")</f>
        <v/>
      </c>
      <c r="AW83" s="25">
        <f>IF(AND(ISNUMBER($D83),N(AW$2)&gt;=N($G$2),N(AW$2)&lt;=N($D83)),AW$2,"")</f>
        <v/>
      </c>
      <c r="AX83" s="25">
        <f>IF(AND(ISNUMBER($D83),N(AX$2)&gt;=N($G$2),N(AX$2)&lt;=N($D83)),AX$2,"")</f>
        <v/>
      </c>
      <c r="AY83" s="25">
        <f>IF(AND(ISNUMBER($D83),N(AY$2)&gt;=N($G$2),N(AY$2)&lt;=N($D83)),AY$2,"")</f>
        <v/>
      </c>
      <c r="AZ83" s="25">
        <f>IF(AND(ISNUMBER($D83),N(AZ$2)&gt;=N($G$2),N(AZ$2)&lt;=N($D83)),AZ$2,"")</f>
        <v/>
      </c>
      <c r="BA83" s="25">
        <f>IF(AND(ISNUMBER($D83),N(BA$2)&gt;=N($G$2),N(BA$2)&lt;=N($D83)),BA$2,"")</f>
        <v/>
      </c>
      <c r="BB83" s="25">
        <f>IF(AND(ISNUMBER($D83),N(BB$2)&gt;=N($G$2),N(BB$2)&lt;=N($D83)),BB$2,"")</f>
        <v/>
      </c>
      <c r="BC83" s="25">
        <f>IF(AND(ISNUMBER($D83),N(BC$2)&gt;=N($G$2),N(BC$2)&lt;=N($D83)),BC$2,"")</f>
        <v/>
      </c>
      <c r="BD83" s="25">
        <f>IF(AND(ISNUMBER($D83),N(BD$2)&gt;=N($G$2),N(BD$2)&lt;=N($D83)),BD$2,"")</f>
        <v/>
      </c>
      <c r="BE83" s="25">
        <f>IF(AND(ISNUMBER($D83),N(BE$2)&gt;=N($G$2),N(BE$2)&lt;=N($D83)),BE$2,"")</f>
        <v/>
      </c>
      <c r="BF83" s="25">
        <f>IF(AND(ISNUMBER($D83),N(BF$2)&gt;=N($G$2),N(BF$2)&lt;=N($D83)),BF$2,"")</f>
        <v/>
      </c>
      <c r="BG83" s="25">
        <f>IF(AND(ISNUMBER($D83),N(BG$2)&gt;=N($G$2),N(BG$2)&lt;=N($D83)),BG$2,"")</f>
        <v/>
      </c>
      <c r="BH83" s="25">
        <f>IF(AND(ISNUMBER($D83),N(BH$2)&gt;=N($G$2),N(BH$2)&lt;=N($D83)),BH$2,"")</f>
        <v/>
      </c>
      <c r="BI83" s="25">
        <f>IF(AND(ISNUMBER($D83),N(BI$2)&gt;=N($G$2),N(BI$2)&lt;=N($D83)),BI$2,"")</f>
        <v/>
      </c>
      <c r="BJ83" s="25">
        <f>IF(AND(ISNUMBER($D83),N(BJ$2)&gt;=N($G$2),N(BJ$2)&lt;=N($D83)),BJ$2,"")</f>
        <v/>
      </c>
      <c r="BK83" s="25">
        <f>IF(AND(ISNUMBER($D83),N(BK$2)&gt;=N($G$2),N(BK$2)&lt;=N($D83)),BK$2,"")</f>
        <v/>
      </c>
      <c r="BL83" s="25">
        <f>IF(AND(ISNUMBER($D83),N(BL$2)&gt;=N($G$2),N(BL$2)&lt;=N($D83)),BL$2,"")</f>
        <v/>
      </c>
      <c r="BM83" s="25">
        <f>IF(AND(ISNUMBER($D83),N(BM$2)&gt;=N($G$2),N(BM$2)&lt;=N($D83)),BM$2,"")</f>
        <v/>
      </c>
      <c r="BN83" s="25">
        <f>IF(AND(ISNUMBER($D83),N(BN$2)&gt;=N($G$2),N(BN$2)&lt;=N($D83)),BN$2,"")</f>
        <v/>
      </c>
      <c r="BO83" s="25">
        <f>IF(AND(ISNUMBER($D83),N(BO$2)&gt;=N($G$2),N(BO$2)&lt;=N($D83)),BO$2,"")</f>
        <v/>
      </c>
    </row>
    <row r="84" ht="20" customHeight="1">
      <c r="A84" s="26" t="inlineStr">
        <is>
          <t>实际</t>
        </is>
      </c>
      <c r="B84" s="26" t="inlineStr">
        <is>
          <t>第二期</t>
        </is>
      </c>
      <c r="C84" s="27" t="inlineStr">
        <is>
          <t>PAB220·工装实物到位</t>
        </is>
      </c>
      <c r="D84" s="28">
        <f>'时间节点计划表'!E42</f>
        <v/>
      </c>
      <c r="E84" s="28">
        <f>IF(COUNT('时间节点计划表'!F42),'时间节点计划表'!F42,"")</f>
        <v/>
      </c>
      <c r="F84" s="29">
        <f>IF(OR(D84="",E84=""),"待填",E84-D84)</f>
        <v/>
      </c>
      <c r="G84" s="25">
        <f>IF(AND(ISNUMBER($E84),N(G$2)&gt;=N($G$2),N(G$2)&lt;=N($E84)),G$2,"")</f>
        <v/>
      </c>
      <c r="H84" s="25">
        <f>IF(AND(ISNUMBER($E84),N(H$2)&gt;=N($G$2),N(H$2)&lt;=N($E84)),H$2,"")</f>
        <v/>
      </c>
      <c r="I84" s="25">
        <f>IF(AND(ISNUMBER($E84),N(I$2)&gt;=N($G$2),N(I$2)&lt;=N($E84)),I$2,"")</f>
        <v/>
      </c>
      <c r="J84" s="25">
        <f>IF(AND(ISNUMBER($E84),N(J$2)&gt;=N($G$2),N(J$2)&lt;=N($E84)),J$2,"")</f>
        <v/>
      </c>
      <c r="K84" s="25">
        <f>IF(AND(ISNUMBER($E84),N(K$2)&gt;=N($G$2),N(K$2)&lt;=N($E84)),K$2,"")</f>
        <v/>
      </c>
      <c r="L84" s="25">
        <f>IF(AND(ISNUMBER($E84),N(L$2)&gt;=N($G$2),N(L$2)&lt;=N($E84)),L$2,"")</f>
        <v/>
      </c>
      <c r="M84" s="25">
        <f>IF(AND(ISNUMBER($E84),N(M$2)&gt;=N($G$2),N(M$2)&lt;=N($E84)),M$2,"")</f>
        <v/>
      </c>
      <c r="N84" s="25">
        <f>IF(AND(ISNUMBER($E84),N(N$2)&gt;=N($G$2),N(N$2)&lt;=N($E84)),N$2,"")</f>
        <v/>
      </c>
      <c r="O84" s="25">
        <f>IF(AND(ISNUMBER($E84),N(O$2)&gt;=N($G$2),N(O$2)&lt;=N($E84)),O$2,"")</f>
        <v/>
      </c>
      <c r="P84" s="25">
        <f>IF(AND(ISNUMBER($E84),N(P$2)&gt;=N($G$2),N(P$2)&lt;=N($E84)),P$2,"")</f>
        <v/>
      </c>
      <c r="Q84" s="25">
        <f>IF(AND(ISNUMBER($E84),N(Q$2)&gt;=N($G$2),N(Q$2)&lt;=N($E84)),Q$2,"")</f>
        <v/>
      </c>
      <c r="R84" s="25">
        <f>IF(AND(ISNUMBER($E84),N(R$2)&gt;=N($G$2),N(R$2)&lt;=N($E84)),R$2,"")</f>
        <v/>
      </c>
      <c r="S84" s="25">
        <f>IF(AND(ISNUMBER($E84),N(S$2)&gt;=N($G$2),N(S$2)&lt;=N($E84)),S$2,"")</f>
        <v/>
      </c>
      <c r="T84" s="25">
        <f>IF(AND(ISNUMBER($E84),N(T$2)&gt;=N($G$2),N(T$2)&lt;=N($E84)),T$2,"")</f>
        <v/>
      </c>
      <c r="U84" s="25">
        <f>IF(AND(ISNUMBER($E84),N(U$2)&gt;=N($G$2),N(U$2)&lt;=N($E84)),U$2,"")</f>
        <v/>
      </c>
      <c r="V84" s="25">
        <f>IF(AND(ISNUMBER($E84),N(V$2)&gt;=N($G$2),N(V$2)&lt;=N($E84)),V$2,"")</f>
        <v/>
      </c>
      <c r="W84" s="25">
        <f>IF(AND(ISNUMBER($E84),N(W$2)&gt;=N($G$2),N(W$2)&lt;=N($E84)),W$2,"")</f>
        <v/>
      </c>
      <c r="X84" s="25">
        <f>IF(AND(ISNUMBER($E84),N(X$2)&gt;=N($G$2),N(X$2)&lt;=N($E84)),X$2,"")</f>
        <v/>
      </c>
      <c r="Y84" s="25">
        <f>IF(AND(ISNUMBER($E84),N(Y$2)&gt;=N($G$2),N(Y$2)&lt;=N($E84)),Y$2,"")</f>
        <v/>
      </c>
      <c r="Z84" s="25">
        <f>IF(AND(ISNUMBER($E84),N(Z$2)&gt;=N($G$2),N(Z$2)&lt;=N($E84)),Z$2,"")</f>
        <v/>
      </c>
      <c r="AA84" s="25">
        <f>IF(AND(ISNUMBER($E84),N(AA$2)&gt;=N($G$2),N(AA$2)&lt;=N($E84)),AA$2,"")</f>
        <v/>
      </c>
      <c r="AB84" s="25">
        <f>IF(AND(ISNUMBER($E84),N(AB$2)&gt;=N($G$2),N(AB$2)&lt;=N($E84)),AB$2,"")</f>
        <v/>
      </c>
      <c r="AC84" s="25">
        <f>IF(AND(ISNUMBER($E84),N(AC$2)&gt;=N($G$2),N(AC$2)&lt;=N($E84)),AC$2,"")</f>
        <v/>
      </c>
      <c r="AD84" s="25">
        <f>IF(AND(ISNUMBER($E84),N(AD$2)&gt;=N($G$2),N(AD$2)&lt;=N($E84)),AD$2,"")</f>
        <v/>
      </c>
      <c r="AE84" s="25">
        <f>IF(AND(ISNUMBER($E84),N(AE$2)&gt;=N($G$2),N(AE$2)&lt;=N($E84)),AE$2,"")</f>
        <v/>
      </c>
      <c r="AF84" s="25">
        <f>IF(AND(ISNUMBER($E84),N(AF$2)&gt;=N($G$2),N(AF$2)&lt;=N($E84)),AF$2,"")</f>
        <v/>
      </c>
      <c r="AG84" s="25">
        <f>IF(AND(ISNUMBER($E84),N(AG$2)&gt;=N($G$2),N(AG$2)&lt;=N($E84)),AG$2,"")</f>
        <v/>
      </c>
      <c r="AH84" s="25">
        <f>IF(AND(ISNUMBER($E84),N(AH$2)&gt;=N($G$2),N(AH$2)&lt;=N($E84)),AH$2,"")</f>
        <v/>
      </c>
      <c r="AI84" s="25">
        <f>IF(AND(ISNUMBER($E84),N(AI$2)&gt;=N($G$2),N(AI$2)&lt;=N($E84)),AI$2,"")</f>
        <v/>
      </c>
      <c r="AJ84" s="25">
        <f>IF(AND(ISNUMBER($E84),N(AJ$2)&gt;=N($G$2),N(AJ$2)&lt;=N($E84)),AJ$2,"")</f>
        <v/>
      </c>
      <c r="AK84" s="25">
        <f>IF(AND(ISNUMBER($E84),N(AK$2)&gt;=N($G$2),N(AK$2)&lt;=N($E84)),AK$2,"")</f>
        <v/>
      </c>
      <c r="AL84" s="25">
        <f>IF(AND(ISNUMBER($E84),N(AL$2)&gt;=N($G$2),N(AL$2)&lt;=N($E84)),AL$2,"")</f>
        <v/>
      </c>
      <c r="AM84" s="25">
        <f>IF(AND(ISNUMBER($E84),N(AM$2)&gt;=N($G$2),N(AM$2)&lt;=N($E84)),AM$2,"")</f>
        <v/>
      </c>
      <c r="AN84" s="25">
        <f>IF(AND(ISNUMBER($E84),N(AN$2)&gt;=N($G$2),N(AN$2)&lt;=N($E84)),AN$2,"")</f>
        <v/>
      </c>
      <c r="AO84" s="25">
        <f>IF(AND(ISNUMBER($E84),N(AO$2)&gt;=N($G$2),N(AO$2)&lt;=N($E84)),AO$2,"")</f>
        <v/>
      </c>
      <c r="AP84" s="25">
        <f>IF(AND(ISNUMBER($E84),N(AP$2)&gt;=N($G$2),N(AP$2)&lt;=N($E84)),AP$2,"")</f>
        <v/>
      </c>
      <c r="AQ84" s="25">
        <f>IF(AND(ISNUMBER($E84),N(AQ$2)&gt;=N($G$2),N(AQ$2)&lt;=N($E84)),AQ$2,"")</f>
        <v/>
      </c>
      <c r="AR84" s="25">
        <f>IF(AND(ISNUMBER($E84),N(AR$2)&gt;=N($G$2),N(AR$2)&lt;=N($E84)),AR$2,"")</f>
        <v/>
      </c>
      <c r="AS84" s="25">
        <f>IF(AND(ISNUMBER($E84),N(AS$2)&gt;=N($G$2),N(AS$2)&lt;=N($E84)),AS$2,"")</f>
        <v/>
      </c>
      <c r="AT84" s="25">
        <f>IF(AND(ISNUMBER($E84),N(AT$2)&gt;=N($G$2),N(AT$2)&lt;=N($E84)),AT$2,"")</f>
        <v/>
      </c>
      <c r="AU84" s="25">
        <f>IF(AND(ISNUMBER($E84),N(AU$2)&gt;=N($G$2),N(AU$2)&lt;=N($E84)),AU$2,"")</f>
        <v/>
      </c>
      <c r="AV84" s="25">
        <f>IF(AND(ISNUMBER($E84),N(AV$2)&gt;=N($G$2),N(AV$2)&lt;=N($E84)),AV$2,"")</f>
        <v/>
      </c>
      <c r="AW84" s="25">
        <f>IF(AND(ISNUMBER($E84),N(AW$2)&gt;=N($G$2),N(AW$2)&lt;=N($E84)),AW$2,"")</f>
        <v/>
      </c>
      <c r="AX84" s="25">
        <f>IF(AND(ISNUMBER($E84),N(AX$2)&gt;=N($G$2),N(AX$2)&lt;=N($E84)),AX$2,"")</f>
        <v/>
      </c>
      <c r="AY84" s="25">
        <f>IF(AND(ISNUMBER($E84),N(AY$2)&gt;=N($G$2),N(AY$2)&lt;=N($E84)),AY$2,"")</f>
        <v/>
      </c>
      <c r="AZ84" s="25">
        <f>IF(AND(ISNUMBER($E84),N(AZ$2)&gt;=N($G$2),N(AZ$2)&lt;=N($E84)),AZ$2,"")</f>
        <v/>
      </c>
      <c r="BA84" s="25">
        <f>IF(AND(ISNUMBER($E84),N(BA$2)&gt;=N($G$2),N(BA$2)&lt;=N($E84)),BA$2,"")</f>
        <v/>
      </c>
      <c r="BB84" s="25">
        <f>IF(AND(ISNUMBER($E84),N(BB$2)&gt;=N($G$2),N(BB$2)&lt;=N($E84)),BB$2,"")</f>
        <v/>
      </c>
      <c r="BC84" s="25">
        <f>IF(AND(ISNUMBER($E84),N(BC$2)&gt;=N($G$2),N(BC$2)&lt;=N($E84)),BC$2,"")</f>
        <v/>
      </c>
      <c r="BD84" s="25">
        <f>IF(AND(ISNUMBER($E84),N(BD$2)&gt;=N($G$2),N(BD$2)&lt;=N($E84)),BD$2,"")</f>
        <v/>
      </c>
      <c r="BE84" s="25">
        <f>IF(AND(ISNUMBER($E84),N(BE$2)&gt;=N($G$2),N(BE$2)&lt;=N($E84)),BE$2,"")</f>
        <v/>
      </c>
      <c r="BF84" s="25">
        <f>IF(AND(ISNUMBER($E84),N(BF$2)&gt;=N($G$2),N(BF$2)&lt;=N($E84)),BF$2,"")</f>
        <v/>
      </c>
      <c r="BG84" s="25">
        <f>IF(AND(ISNUMBER($E84),N(BG$2)&gt;=N($G$2),N(BG$2)&lt;=N($E84)),BG$2,"")</f>
        <v/>
      </c>
      <c r="BH84" s="25">
        <f>IF(AND(ISNUMBER($E84),N(BH$2)&gt;=N($G$2),N(BH$2)&lt;=N($E84)),BH$2,"")</f>
        <v/>
      </c>
      <c r="BI84" s="25">
        <f>IF(AND(ISNUMBER($E84),N(BI$2)&gt;=N($G$2),N(BI$2)&lt;=N($E84)),BI$2,"")</f>
        <v/>
      </c>
      <c r="BJ84" s="25">
        <f>IF(AND(ISNUMBER($E84),N(BJ$2)&gt;=N($G$2),N(BJ$2)&lt;=N($E84)),BJ$2,"")</f>
        <v/>
      </c>
      <c r="BK84" s="25">
        <f>IF(AND(ISNUMBER($E84),N(BK$2)&gt;=N($G$2),N(BK$2)&lt;=N($E84)),BK$2,"")</f>
        <v/>
      </c>
      <c r="BL84" s="25">
        <f>IF(AND(ISNUMBER($E84),N(BL$2)&gt;=N($G$2),N(BL$2)&lt;=N($E84)),BL$2,"")</f>
        <v/>
      </c>
      <c r="BM84" s="25">
        <f>IF(AND(ISNUMBER($E84),N(BM$2)&gt;=N($G$2),N(BM$2)&lt;=N($E84)),BM$2,"")</f>
        <v/>
      </c>
      <c r="BN84" s="25">
        <f>IF(AND(ISNUMBER($E84),N(BN$2)&gt;=N($G$2),N(BN$2)&lt;=N($E84)),BN$2,"")</f>
        <v/>
      </c>
      <c r="BO84" s="25">
        <f>IF(AND(ISNUMBER($E84),N(BO$2)&gt;=N($G$2),N(BO$2)&lt;=N($E84)),BO$2,"")</f>
        <v/>
      </c>
    </row>
    <row r="85" ht="20" customHeight="1">
      <c r="A85" s="21" t="inlineStr">
        <is>
          <t>预估</t>
        </is>
      </c>
      <c r="B85" s="21" t="inlineStr">
        <is>
          <t>第二期</t>
        </is>
      </c>
      <c r="C85" s="22" t="inlineStr">
        <is>
          <t>PAB220·排针机安装调试</t>
        </is>
      </c>
      <c r="D85" s="23">
        <f>'时间节点计划表'!E43</f>
        <v/>
      </c>
      <c r="E85" s="23">
        <f>IF(COUNT('时间节点计划表'!F43),'时间节点计划表'!F43,"")</f>
        <v/>
      </c>
      <c r="F85" s="24" t="inlineStr"/>
      <c r="G85" s="25">
        <f>IF(AND(ISNUMBER($D85),N(G$2)&gt;=N($G$2),N(G$2)&lt;=N($D85)),G$2,"")</f>
        <v/>
      </c>
      <c r="H85" s="25">
        <f>IF(AND(ISNUMBER($D85),N(H$2)&gt;=N($G$2),N(H$2)&lt;=N($D85)),H$2,"")</f>
        <v/>
      </c>
      <c r="I85" s="25">
        <f>IF(AND(ISNUMBER($D85),N(I$2)&gt;=N($G$2),N(I$2)&lt;=N($D85)),I$2,"")</f>
        <v/>
      </c>
      <c r="J85" s="25">
        <f>IF(AND(ISNUMBER($D85),N(J$2)&gt;=N($G$2),N(J$2)&lt;=N($D85)),J$2,"")</f>
        <v/>
      </c>
      <c r="K85" s="25">
        <f>IF(AND(ISNUMBER($D85),N(K$2)&gt;=N($G$2),N(K$2)&lt;=N($D85)),K$2,"")</f>
        <v/>
      </c>
      <c r="L85" s="25">
        <f>IF(AND(ISNUMBER($D85),N(L$2)&gt;=N($G$2),N(L$2)&lt;=N($D85)),L$2,"")</f>
        <v/>
      </c>
      <c r="M85" s="25">
        <f>IF(AND(ISNUMBER($D85),N(M$2)&gt;=N($G$2),N(M$2)&lt;=N($D85)),M$2,"")</f>
        <v/>
      </c>
      <c r="N85" s="25">
        <f>IF(AND(ISNUMBER($D85),N(N$2)&gt;=N($G$2),N(N$2)&lt;=N($D85)),N$2,"")</f>
        <v/>
      </c>
      <c r="O85" s="25">
        <f>IF(AND(ISNUMBER($D85),N(O$2)&gt;=N($G$2),N(O$2)&lt;=N($D85)),O$2,"")</f>
        <v/>
      </c>
      <c r="P85" s="25">
        <f>IF(AND(ISNUMBER($D85),N(P$2)&gt;=N($G$2),N(P$2)&lt;=N($D85)),P$2,"")</f>
        <v/>
      </c>
      <c r="Q85" s="25">
        <f>IF(AND(ISNUMBER($D85),N(Q$2)&gt;=N($G$2),N(Q$2)&lt;=N($D85)),Q$2,"")</f>
        <v/>
      </c>
      <c r="R85" s="25">
        <f>IF(AND(ISNUMBER($D85),N(R$2)&gt;=N($G$2),N(R$2)&lt;=N($D85)),R$2,"")</f>
        <v/>
      </c>
      <c r="S85" s="25">
        <f>IF(AND(ISNUMBER($D85),N(S$2)&gt;=N($G$2),N(S$2)&lt;=N($D85)),S$2,"")</f>
        <v/>
      </c>
      <c r="T85" s="25">
        <f>IF(AND(ISNUMBER($D85),N(T$2)&gt;=N($G$2),N(T$2)&lt;=N($D85)),T$2,"")</f>
        <v/>
      </c>
      <c r="U85" s="25">
        <f>IF(AND(ISNUMBER($D85),N(U$2)&gt;=N($G$2),N(U$2)&lt;=N($D85)),U$2,"")</f>
        <v/>
      </c>
      <c r="V85" s="25">
        <f>IF(AND(ISNUMBER($D85),N(V$2)&gt;=N($G$2),N(V$2)&lt;=N($D85)),V$2,"")</f>
        <v/>
      </c>
      <c r="W85" s="25">
        <f>IF(AND(ISNUMBER($D85),N(W$2)&gt;=N($G$2),N(W$2)&lt;=N($D85)),W$2,"")</f>
        <v/>
      </c>
      <c r="X85" s="25">
        <f>IF(AND(ISNUMBER($D85),N(X$2)&gt;=N($G$2),N(X$2)&lt;=N($D85)),X$2,"")</f>
        <v/>
      </c>
      <c r="Y85" s="25">
        <f>IF(AND(ISNUMBER($D85),N(Y$2)&gt;=N($G$2),N(Y$2)&lt;=N($D85)),Y$2,"")</f>
        <v/>
      </c>
      <c r="Z85" s="25">
        <f>IF(AND(ISNUMBER($D85),N(Z$2)&gt;=N($G$2),N(Z$2)&lt;=N($D85)),Z$2,"")</f>
        <v/>
      </c>
      <c r="AA85" s="25">
        <f>IF(AND(ISNUMBER($D85),N(AA$2)&gt;=N($G$2),N(AA$2)&lt;=N($D85)),AA$2,"")</f>
        <v/>
      </c>
      <c r="AB85" s="25">
        <f>IF(AND(ISNUMBER($D85),N(AB$2)&gt;=N($G$2),N(AB$2)&lt;=N($D85)),AB$2,"")</f>
        <v/>
      </c>
      <c r="AC85" s="25">
        <f>IF(AND(ISNUMBER($D85),N(AC$2)&gt;=N($G$2),N(AC$2)&lt;=N($D85)),AC$2,"")</f>
        <v/>
      </c>
      <c r="AD85" s="25">
        <f>IF(AND(ISNUMBER($D85),N(AD$2)&gt;=N($G$2),N(AD$2)&lt;=N($D85)),AD$2,"")</f>
        <v/>
      </c>
      <c r="AE85" s="25">
        <f>IF(AND(ISNUMBER($D85),N(AE$2)&gt;=N($G$2),N(AE$2)&lt;=N($D85)),AE$2,"")</f>
        <v/>
      </c>
      <c r="AF85" s="25">
        <f>IF(AND(ISNUMBER($D85),N(AF$2)&gt;=N($G$2),N(AF$2)&lt;=N($D85)),AF$2,"")</f>
        <v/>
      </c>
      <c r="AG85" s="25">
        <f>IF(AND(ISNUMBER($D85),N(AG$2)&gt;=N($G$2),N(AG$2)&lt;=N($D85)),AG$2,"")</f>
        <v/>
      </c>
      <c r="AH85" s="25">
        <f>IF(AND(ISNUMBER($D85),N(AH$2)&gt;=N($G$2),N(AH$2)&lt;=N($D85)),AH$2,"")</f>
        <v/>
      </c>
      <c r="AI85" s="25">
        <f>IF(AND(ISNUMBER($D85),N(AI$2)&gt;=N($G$2),N(AI$2)&lt;=N($D85)),AI$2,"")</f>
        <v/>
      </c>
      <c r="AJ85" s="25">
        <f>IF(AND(ISNUMBER($D85),N(AJ$2)&gt;=N($G$2),N(AJ$2)&lt;=N($D85)),AJ$2,"")</f>
        <v/>
      </c>
      <c r="AK85" s="25">
        <f>IF(AND(ISNUMBER($D85),N(AK$2)&gt;=N($G$2),N(AK$2)&lt;=N($D85)),AK$2,"")</f>
        <v/>
      </c>
      <c r="AL85" s="25">
        <f>IF(AND(ISNUMBER($D85),N(AL$2)&gt;=N($G$2),N(AL$2)&lt;=N($D85)),AL$2,"")</f>
        <v/>
      </c>
      <c r="AM85" s="25">
        <f>IF(AND(ISNUMBER($D85),N(AM$2)&gt;=N($G$2),N(AM$2)&lt;=N($D85)),AM$2,"")</f>
        <v/>
      </c>
      <c r="AN85" s="25">
        <f>IF(AND(ISNUMBER($D85),N(AN$2)&gt;=N($G$2),N(AN$2)&lt;=N($D85)),AN$2,"")</f>
        <v/>
      </c>
      <c r="AO85" s="25">
        <f>IF(AND(ISNUMBER($D85),N(AO$2)&gt;=N($G$2),N(AO$2)&lt;=N($D85)),AO$2,"")</f>
        <v/>
      </c>
      <c r="AP85" s="25">
        <f>IF(AND(ISNUMBER($D85),N(AP$2)&gt;=N($G$2),N(AP$2)&lt;=N($D85)),AP$2,"")</f>
        <v/>
      </c>
      <c r="AQ85" s="25">
        <f>IF(AND(ISNUMBER($D85),N(AQ$2)&gt;=N($G$2),N(AQ$2)&lt;=N($D85)),AQ$2,"")</f>
        <v/>
      </c>
      <c r="AR85" s="25">
        <f>IF(AND(ISNUMBER($D85),N(AR$2)&gt;=N($G$2),N(AR$2)&lt;=N($D85)),AR$2,"")</f>
        <v/>
      </c>
      <c r="AS85" s="25">
        <f>IF(AND(ISNUMBER($D85),N(AS$2)&gt;=N($G$2),N(AS$2)&lt;=N($D85)),AS$2,"")</f>
        <v/>
      </c>
      <c r="AT85" s="25">
        <f>IF(AND(ISNUMBER($D85),N(AT$2)&gt;=N($G$2),N(AT$2)&lt;=N($D85)),AT$2,"")</f>
        <v/>
      </c>
      <c r="AU85" s="25">
        <f>IF(AND(ISNUMBER($D85),N(AU$2)&gt;=N($G$2),N(AU$2)&lt;=N($D85)),AU$2,"")</f>
        <v/>
      </c>
      <c r="AV85" s="25">
        <f>IF(AND(ISNUMBER($D85),N(AV$2)&gt;=N($G$2),N(AV$2)&lt;=N($D85)),AV$2,"")</f>
        <v/>
      </c>
      <c r="AW85" s="25">
        <f>IF(AND(ISNUMBER($D85),N(AW$2)&gt;=N($G$2),N(AW$2)&lt;=N($D85)),AW$2,"")</f>
        <v/>
      </c>
      <c r="AX85" s="25">
        <f>IF(AND(ISNUMBER($D85),N(AX$2)&gt;=N($G$2),N(AX$2)&lt;=N($D85)),AX$2,"")</f>
        <v/>
      </c>
      <c r="AY85" s="25">
        <f>IF(AND(ISNUMBER($D85),N(AY$2)&gt;=N($G$2),N(AY$2)&lt;=N($D85)),AY$2,"")</f>
        <v/>
      </c>
      <c r="AZ85" s="25">
        <f>IF(AND(ISNUMBER($D85),N(AZ$2)&gt;=N($G$2),N(AZ$2)&lt;=N($D85)),AZ$2,"")</f>
        <v/>
      </c>
      <c r="BA85" s="25">
        <f>IF(AND(ISNUMBER($D85),N(BA$2)&gt;=N($G$2),N(BA$2)&lt;=N($D85)),BA$2,"")</f>
        <v/>
      </c>
      <c r="BB85" s="25">
        <f>IF(AND(ISNUMBER($D85),N(BB$2)&gt;=N($G$2),N(BB$2)&lt;=N($D85)),BB$2,"")</f>
        <v/>
      </c>
      <c r="BC85" s="25">
        <f>IF(AND(ISNUMBER($D85),N(BC$2)&gt;=N($G$2),N(BC$2)&lt;=N($D85)),BC$2,"")</f>
        <v/>
      </c>
      <c r="BD85" s="25">
        <f>IF(AND(ISNUMBER($D85),N(BD$2)&gt;=N($G$2),N(BD$2)&lt;=N($D85)),BD$2,"")</f>
        <v/>
      </c>
      <c r="BE85" s="25">
        <f>IF(AND(ISNUMBER($D85),N(BE$2)&gt;=N($G$2),N(BE$2)&lt;=N($D85)),BE$2,"")</f>
        <v/>
      </c>
      <c r="BF85" s="25">
        <f>IF(AND(ISNUMBER($D85),N(BF$2)&gt;=N($G$2),N(BF$2)&lt;=N($D85)),BF$2,"")</f>
        <v/>
      </c>
      <c r="BG85" s="25">
        <f>IF(AND(ISNUMBER($D85),N(BG$2)&gt;=N($G$2),N(BG$2)&lt;=N($D85)),BG$2,"")</f>
        <v/>
      </c>
      <c r="BH85" s="25">
        <f>IF(AND(ISNUMBER($D85),N(BH$2)&gt;=N($G$2),N(BH$2)&lt;=N($D85)),BH$2,"")</f>
        <v/>
      </c>
      <c r="BI85" s="25">
        <f>IF(AND(ISNUMBER($D85),N(BI$2)&gt;=N($G$2),N(BI$2)&lt;=N($D85)),BI$2,"")</f>
        <v/>
      </c>
      <c r="BJ85" s="25">
        <f>IF(AND(ISNUMBER($D85),N(BJ$2)&gt;=N($G$2),N(BJ$2)&lt;=N($D85)),BJ$2,"")</f>
        <v/>
      </c>
      <c r="BK85" s="25">
        <f>IF(AND(ISNUMBER($D85),N(BK$2)&gt;=N($G$2),N(BK$2)&lt;=N($D85)),BK$2,"")</f>
        <v/>
      </c>
      <c r="BL85" s="25">
        <f>IF(AND(ISNUMBER($D85),N(BL$2)&gt;=N($G$2),N(BL$2)&lt;=N($D85)),BL$2,"")</f>
        <v/>
      </c>
      <c r="BM85" s="25">
        <f>IF(AND(ISNUMBER($D85),N(BM$2)&gt;=N($G$2),N(BM$2)&lt;=N($D85)),BM$2,"")</f>
        <v/>
      </c>
      <c r="BN85" s="25">
        <f>IF(AND(ISNUMBER($D85),N(BN$2)&gt;=N($G$2),N(BN$2)&lt;=N($D85)),BN$2,"")</f>
        <v/>
      </c>
      <c r="BO85" s="25">
        <f>IF(AND(ISNUMBER($D85),N(BO$2)&gt;=N($G$2),N(BO$2)&lt;=N($D85)),BO$2,"")</f>
        <v/>
      </c>
    </row>
    <row r="86" ht="20" customHeight="1">
      <c r="A86" s="26" t="inlineStr">
        <is>
          <t>实际</t>
        </is>
      </c>
      <c r="B86" s="26" t="inlineStr">
        <is>
          <t>第二期</t>
        </is>
      </c>
      <c r="C86" s="27" t="inlineStr">
        <is>
          <t>PAB220·排针机安装调试</t>
        </is>
      </c>
      <c r="D86" s="28">
        <f>'时间节点计划表'!E43</f>
        <v/>
      </c>
      <c r="E86" s="28">
        <f>IF(COUNT('时间节点计划表'!F43),'时间节点计划表'!F43,"")</f>
        <v/>
      </c>
      <c r="F86" s="29">
        <f>IF(OR(D86="",E86=""),"待填",E86-D86)</f>
        <v/>
      </c>
      <c r="G86" s="25">
        <f>IF(AND(ISNUMBER($E86),N(G$2)&gt;=N($G$2),N(G$2)&lt;=N($E86)),G$2,"")</f>
        <v/>
      </c>
      <c r="H86" s="25">
        <f>IF(AND(ISNUMBER($E86),N(H$2)&gt;=N($G$2),N(H$2)&lt;=N($E86)),H$2,"")</f>
        <v/>
      </c>
      <c r="I86" s="25">
        <f>IF(AND(ISNUMBER($E86),N(I$2)&gt;=N($G$2),N(I$2)&lt;=N($E86)),I$2,"")</f>
        <v/>
      </c>
      <c r="J86" s="25">
        <f>IF(AND(ISNUMBER($E86),N(J$2)&gt;=N($G$2),N(J$2)&lt;=N($E86)),J$2,"")</f>
        <v/>
      </c>
      <c r="K86" s="25">
        <f>IF(AND(ISNUMBER($E86),N(K$2)&gt;=N($G$2),N(K$2)&lt;=N($E86)),K$2,"")</f>
        <v/>
      </c>
      <c r="L86" s="25">
        <f>IF(AND(ISNUMBER($E86),N(L$2)&gt;=N($G$2),N(L$2)&lt;=N($E86)),L$2,"")</f>
        <v/>
      </c>
      <c r="M86" s="25">
        <f>IF(AND(ISNUMBER($E86),N(M$2)&gt;=N($G$2),N(M$2)&lt;=N($E86)),M$2,"")</f>
        <v/>
      </c>
      <c r="N86" s="25">
        <f>IF(AND(ISNUMBER($E86),N(N$2)&gt;=N($G$2),N(N$2)&lt;=N($E86)),N$2,"")</f>
        <v/>
      </c>
      <c r="O86" s="25">
        <f>IF(AND(ISNUMBER($E86),N(O$2)&gt;=N($G$2),N(O$2)&lt;=N($E86)),O$2,"")</f>
        <v/>
      </c>
      <c r="P86" s="25">
        <f>IF(AND(ISNUMBER($E86),N(P$2)&gt;=N($G$2),N(P$2)&lt;=N($E86)),P$2,"")</f>
        <v/>
      </c>
      <c r="Q86" s="25">
        <f>IF(AND(ISNUMBER($E86),N(Q$2)&gt;=N($G$2),N(Q$2)&lt;=N($E86)),Q$2,"")</f>
        <v/>
      </c>
      <c r="R86" s="25">
        <f>IF(AND(ISNUMBER($E86),N(R$2)&gt;=N($G$2),N(R$2)&lt;=N($E86)),R$2,"")</f>
        <v/>
      </c>
      <c r="S86" s="25">
        <f>IF(AND(ISNUMBER($E86),N(S$2)&gt;=N($G$2),N(S$2)&lt;=N($E86)),S$2,"")</f>
        <v/>
      </c>
      <c r="T86" s="25">
        <f>IF(AND(ISNUMBER($E86),N(T$2)&gt;=N($G$2),N(T$2)&lt;=N($E86)),T$2,"")</f>
        <v/>
      </c>
      <c r="U86" s="25">
        <f>IF(AND(ISNUMBER($E86),N(U$2)&gt;=N($G$2),N(U$2)&lt;=N($E86)),U$2,"")</f>
        <v/>
      </c>
      <c r="V86" s="25">
        <f>IF(AND(ISNUMBER($E86),N(V$2)&gt;=N($G$2),N(V$2)&lt;=N($E86)),V$2,"")</f>
        <v/>
      </c>
      <c r="W86" s="25">
        <f>IF(AND(ISNUMBER($E86),N(W$2)&gt;=N($G$2),N(W$2)&lt;=N($E86)),W$2,"")</f>
        <v/>
      </c>
      <c r="X86" s="25">
        <f>IF(AND(ISNUMBER($E86),N(X$2)&gt;=N($G$2),N(X$2)&lt;=N($E86)),X$2,"")</f>
        <v/>
      </c>
      <c r="Y86" s="25">
        <f>IF(AND(ISNUMBER($E86),N(Y$2)&gt;=N($G$2),N(Y$2)&lt;=N($E86)),Y$2,"")</f>
        <v/>
      </c>
      <c r="Z86" s="25">
        <f>IF(AND(ISNUMBER($E86),N(Z$2)&gt;=N($G$2),N(Z$2)&lt;=N($E86)),Z$2,"")</f>
        <v/>
      </c>
      <c r="AA86" s="25">
        <f>IF(AND(ISNUMBER($E86),N(AA$2)&gt;=N($G$2),N(AA$2)&lt;=N($E86)),AA$2,"")</f>
        <v/>
      </c>
      <c r="AB86" s="25">
        <f>IF(AND(ISNUMBER($E86),N(AB$2)&gt;=N($G$2),N(AB$2)&lt;=N($E86)),AB$2,"")</f>
        <v/>
      </c>
      <c r="AC86" s="25">
        <f>IF(AND(ISNUMBER($E86),N(AC$2)&gt;=N($G$2),N(AC$2)&lt;=N($E86)),AC$2,"")</f>
        <v/>
      </c>
      <c r="AD86" s="25">
        <f>IF(AND(ISNUMBER($E86),N(AD$2)&gt;=N($G$2),N(AD$2)&lt;=N($E86)),AD$2,"")</f>
        <v/>
      </c>
      <c r="AE86" s="25">
        <f>IF(AND(ISNUMBER($E86),N(AE$2)&gt;=N($G$2),N(AE$2)&lt;=N($E86)),AE$2,"")</f>
        <v/>
      </c>
      <c r="AF86" s="25">
        <f>IF(AND(ISNUMBER($E86),N(AF$2)&gt;=N($G$2),N(AF$2)&lt;=N($E86)),AF$2,"")</f>
        <v/>
      </c>
      <c r="AG86" s="25">
        <f>IF(AND(ISNUMBER($E86),N(AG$2)&gt;=N($G$2),N(AG$2)&lt;=N($E86)),AG$2,"")</f>
        <v/>
      </c>
      <c r="AH86" s="25">
        <f>IF(AND(ISNUMBER($E86),N(AH$2)&gt;=N($G$2),N(AH$2)&lt;=N($E86)),AH$2,"")</f>
        <v/>
      </c>
      <c r="AI86" s="25">
        <f>IF(AND(ISNUMBER($E86),N(AI$2)&gt;=N($G$2),N(AI$2)&lt;=N($E86)),AI$2,"")</f>
        <v/>
      </c>
      <c r="AJ86" s="25">
        <f>IF(AND(ISNUMBER($E86),N(AJ$2)&gt;=N($G$2),N(AJ$2)&lt;=N($E86)),AJ$2,"")</f>
        <v/>
      </c>
      <c r="AK86" s="25">
        <f>IF(AND(ISNUMBER($E86),N(AK$2)&gt;=N($G$2),N(AK$2)&lt;=N($E86)),AK$2,"")</f>
        <v/>
      </c>
      <c r="AL86" s="25">
        <f>IF(AND(ISNUMBER($E86),N(AL$2)&gt;=N($G$2),N(AL$2)&lt;=N($E86)),AL$2,"")</f>
        <v/>
      </c>
      <c r="AM86" s="25">
        <f>IF(AND(ISNUMBER($E86),N(AM$2)&gt;=N($G$2),N(AM$2)&lt;=N($E86)),AM$2,"")</f>
        <v/>
      </c>
      <c r="AN86" s="25">
        <f>IF(AND(ISNUMBER($E86),N(AN$2)&gt;=N($G$2),N(AN$2)&lt;=N($E86)),AN$2,"")</f>
        <v/>
      </c>
      <c r="AO86" s="25">
        <f>IF(AND(ISNUMBER($E86),N(AO$2)&gt;=N($G$2),N(AO$2)&lt;=N($E86)),AO$2,"")</f>
        <v/>
      </c>
      <c r="AP86" s="25">
        <f>IF(AND(ISNUMBER($E86),N(AP$2)&gt;=N($G$2),N(AP$2)&lt;=N($E86)),AP$2,"")</f>
        <v/>
      </c>
      <c r="AQ86" s="25">
        <f>IF(AND(ISNUMBER($E86),N(AQ$2)&gt;=N($G$2),N(AQ$2)&lt;=N($E86)),AQ$2,"")</f>
        <v/>
      </c>
      <c r="AR86" s="25">
        <f>IF(AND(ISNUMBER($E86),N(AR$2)&gt;=N($G$2),N(AR$2)&lt;=N($E86)),AR$2,"")</f>
        <v/>
      </c>
      <c r="AS86" s="25">
        <f>IF(AND(ISNUMBER($E86),N(AS$2)&gt;=N($G$2),N(AS$2)&lt;=N($E86)),AS$2,"")</f>
        <v/>
      </c>
      <c r="AT86" s="25">
        <f>IF(AND(ISNUMBER($E86),N(AT$2)&gt;=N($G$2),N(AT$2)&lt;=N($E86)),AT$2,"")</f>
        <v/>
      </c>
      <c r="AU86" s="25">
        <f>IF(AND(ISNUMBER($E86),N(AU$2)&gt;=N($G$2),N(AU$2)&lt;=N($E86)),AU$2,"")</f>
        <v/>
      </c>
      <c r="AV86" s="25">
        <f>IF(AND(ISNUMBER($E86),N(AV$2)&gt;=N($G$2),N(AV$2)&lt;=N($E86)),AV$2,"")</f>
        <v/>
      </c>
      <c r="AW86" s="25">
        <f>IF(AND(ISNUMBER($E86),N(AW$2)&gt;=N($G$2),N(AW$2)&lt;=N($E86)),AW$2,"")</f>
        <v/>
      </c>
      <c r="AX86" s="25">
        <f>IF(AND(ISNUMBER($E86),N(AX$2)&gt;=N($G$2),N(AX$2)&lt;=N($E86)),AX$2,"")</f>
        <v/>
      </c>
      <c r="AY86" s="25">
        <f>IF(AND(ISNUMBER($E86),N(AY$2)&gt;=N($G$2),N(AY$2)&lt;=N($E86)),AY$2,"")</f>
        <v/>
      </c>
      <c r="AZ86" s="25">
        <f>IF(AND(ISNUMBER($E86),N(AZ$2)&gt;=N($G$2),N(AZ$2)&lt;=N($E86)),AZ$2,"")</f>
        <v/>
      </c>
      <c r="BA86" s="25">
        <f>IF(AND(ISNUMBER($E86),N(BA$2)&gt;=N($G$2),N(BA$2)&lt;=N($E86)),BA$2,"")</f>
        <v/>
      </c>
      <c r="BB86" s="25">
        <f>IF(AND(ISNUMBER($E86),N(BB$2)&gt;=N($G$2),N(BB$2)&lt;=N($E86)),BB$2,"")</f>
        <v/>
      </c>
      <c r="BC86" s="25">
        <f>IF(AND(ISNUMBER($E86),N(BC$2)&gt;=N($G$2),N(BC$2)&lt;=N($E86)),BC$2,"")</f>
        <v/>
      </c>
      <c r="BD86" s="25">
        <f>IF(AND(ISNUMBER($E86),N(BD$2)&gt;=N($G$2),N(BD$2)&lt;=N($E86)),BD$2,"")</f>
        <v/>
      </c>
      <c r="BE86" s="25">
        <f>IF(AND(ISNUMBER($E86),N(BE$2)&gt;=N($G$2),N(BE$2)&lt;=N($E86)),BE$2,"")</f>
        <v/>
      </c>
      <c r="BF86" s="25">
        <f>IF(AND(ISNUMBER($E86),N(BF$2)&gt;=N($G$2),N(BF$2)&lt;=N($E86)),BF$2,"")</f>
        <v/>
      </c>
      <c r="BG86" s="25">
        <f>IF(AND(ISNUMBER($E86),N(BG$2)&gt;=N($G$2),N(BG$2)&lt;=N($E86)),BG$2,"")</f>
        <v/>
      </c>
      <c r="BH86" s="25">
        <f>IF(AND(ISNUMBER($E86),N(BH$2)&gt;=N($G$2),N(BH$2)&lt;=N($E86)),BH$2,"")</f>
        <v/>
      </c>
      <c r="BI86" s="25">
        <f>IF(AND(ISNUMBER($E86),N(BI$2)&gt;=N($G$2),N(BI$2)&lt;=N($E86)),BI$2,"")</f>
        <v/>
      </c>
      <c r="BJ86" s="25">
        <f>IF(AND(ISNUMBER($E86),N(BJ$2)&gt;=N($G$2),N(BJ$2)&lt;=N($E86)),BJ$2,"")</f>
        <v/>
      </c>
      <c r="BK86" s="25">
        <f>IF(AND(ISNUMBER($E86),N(BK$2)&gt;=N($G$2),N(BK$2)&lt;=N($E86)),BK$2,"")</f>
        <v/>
      </c>
      <c r="BL86" s="25">
        <f>IF(AND(ISNUMBER($E86),N(BL$2)&gt;=N($G$2),N(BL$2)&lt;=N($E86)),BL$2,"")</f>
        <v/>
      </c>
      <c r="BM86" s="25">
        <f>IF(AND(ISNUMBER($E86),N(BM$2)&gt;=N($G$2),N(BM$2)&lt;=N($E86)),BM$2,"")</f>
        <v/>
      </c>
      <c r="BN86" s="25">
        <f>IF(AND(ISNUMBER($E86),N(BN$2)&gt;=N($G$2),N(BN$2)&lt;=N($E86)),BN$2,"")</f>
        <v/>
      </c>
      <c r="BO86" s="25">
        <f>IF(AND(ISNUMBER($E86),N(BO$2)&gt;=N($G$2),N(BO$2)&lt;=N($E86)),BO$2,"")</f>
        <v/>
      </c>
    </row>
    <row r="87" ht="20" customHeight="1">
      <c r="A87" s="21" t="inlineStr">
        <is>
          <t>预估</t>
        </is>
      </c>
      <c r="B87" s="21" t="inlineStr">
        <is>
          <t>第二期</t>
        </is>
      </c>
      <c r="C87" s="22" t="inlineStr">
        <is>
          <t>PAB220·单级样机</t>
        </is>
      </c>
      <c r="D87" s="23">
        <f>'时间节点计划表'!E44</f>
        <v/>
      </c>
      <c r="E87" s="23">
        <f>IF(COUNT('时间节点计划表'!F44),'时间节点计划表'!F44,"")</f>
        <v/>
      </c>
      <c r="F87" s="24" t="inlineStr"/>
      <c r="G87" s="25">
        <f>IF(AND(ISNUMBER($D87),N(G$2)&gt;=N($G$2),N(G$2)&lt;=N($D87)),G$2,"")</f>
        <v/>
      </c>
      <c r="H87" s="25">
        <f>IF(AND(ISNUMBER($D87),N(H$2)&gt;=N($G$2),N(H$2)&lt;=N($D87)),H$2,"")</f>
        <v/>
      </c>
      <c r="I87" s="25">
        <f>IF(AND(ISNUMBER($D87),N(I$2)&gt;=N($G$2),N(I$2)&lt;=N($D87)),I$2,"")</f>
        <v/>
      </c>
      <c r="J87" s="25">
        <f>IF(AND(ISNUMBER($D87),N(J$2)&gt;=N($G$2),N(J$2)&lt;=N($D87)),J$2,"")</f>
        <v/>
      </c>
      <c r="K87" s="25">
        <f>IF(AND(ISNUMBER($D87),N(K$2)&gt;=N($G$2),N(K$2)&lt;=N($D87)),K$2,"")</f>
        <v/>
      </c>
      <c r="L87" s="25">
        <f>IF(AND(ISNUMBER($D87),N(L$2)&gt;=N($G$2),N(L$2)&lt;=N($D87)),L$2,"")</f>
        <v/>
      </c>
      <c r="M87" s="25">
        <f>IF(AND(ISNUMBER($D87),N(M$2)&gt;=N($G$2),N(M$2)&lt;=N($D87)),M$2,"")</f>
        <v/>
      </c>
      <c r="N87" s="25">
        <f>IF(AND(ISNUMBER($D87),N(N$2)&gt;=N($G$2),N(N$2)&lt;=N($D87)),N$2,"")</f>
        <v/>
      </c>
      <c r="O87" s="25">
        <f>IF(AND(ISNUMBER($D87),N(O$2)&gt;=N($G$2),N(O$2)&lt;=N($D87)),O$2,"")</f>
        <v/>
      </c>
      <c r="P87" s="25">
        <f>IF(AND(ISNUMBER($D87),N(P$2)&gt;=N($G$2),N(P$2)&lt;=N($D87)),P$2,"")</f>
        <v/>
      </c>
      <c r="Q87" s="25">
        <f>IF(AND(ISNUMBER($D87),N(Q$2)&gt;=N($G$2),N(Q$2)&lt;=N($D87)),Q$2,"")</f>
        <v/>
      </c>
      <c r="R87" s="25">
        <f>IF(AND(ISNUMBER($D87),N(R$2)&gt;=N($G$2),N(R$2)&lt;=N($D87)),R$2,"")</f>
        <v/>
      </c>
      <c r="S87" s="25">
        <f>IF(AND(ISNUMBER($D87),N(S$2)&gt;=N($G$2),N(S$2)&lt;=N($D87)),S$2,"")</f>
        <v/>
      </c>
      <c r="T87" s="25">
        <f>IF(AND(ISNUMBER($D87),N(T$2)&gt;=N($G$2),N(T$2)&lt;=N($D87)),T$2,"")</f>
        <v/>
      </c>
      <c r="U87" s="25">
        <f>IF(AND(ISNUMBER($D87),N(U$2)&gt;=N($G$2),N(U$2)&lt;=N($D87)),U$2,"")</f>
        <v/>
      </c>
      <c r="V87" s="25">
        <f>IF(AND(ISNUMBER($D87),N(V$2)&gt;=N($G$2),N(V$2)&lt;=N($D87)),V$2,"")</f>
        <v/>
      </c>
      <c r="W87" s="25">
        <f>IF(AND(ISNUMBER($D87),N(W$2)&gt;=N($G$2),N(W$2)&lt;=N($D87)),W$2,"")</f>
        <v/>
      </c>
      <c r="X87" s="25">
        <f>IF(AND(ISNUMBER($D87),N(X$2)&gt;=N($G$2),N(X$2)&lt;=N($D87)),X$2,"")</f>
        <v/>
      </c>
      <c r="Y87" s="25">
        <f>IF(AND(ISNUMBER($D87),N(Y$2)&gt;=N($G$2),N(Y$2)&lt;=N($D87)),Y$2,"")</f>
        <v/>
      </c>
      <c r="Z87" s="25">
        <f>IF(AND(ISNUMBER($D87),N(Z$2)&gt;=N($G$2),N(Z$2)&lt;=N($D87)),Z$2,"")</f>
        <v/>
      </c>
      <c r="AA87" s="25">
        <f>IF(AND(ISNUMBER($D87),N(AA$2)&gt;=N($G$2),N(AA$2)&lt;=N($D87)),AA$2,"")</f>
        <v/>
      </c>
      <c r="AB87" s="25">
        <f>IF(AND(ISNUMBER($D87),N(AB$2)&gt;=N($G$2),N(AB$2)&lt;=N($D87)),AB$2,"")</f>
        <v/>
      </c>
      <c r="AC87" s="25">
        <f>IF(AND(ISNUMBER($D87),N(AC$2)&gt;=N($G$2),N(AC$2)&lt;=N($D87)),AC$2,"")</f>
        <v/>
      </c>
      <c r="AD87" s="25">
        <f>IF(AND(ISNUMBER($D87),N(AD$2)&gt;=N($G$2),N(AD$2)&lt;=N($D87)),AD$2,"")</f>
        <v/>
      </c>
      <c r="AE87" s="25">
        <f>IF(AND(ISNUMBER($D87),N(AE$2)&gt;=N($G$2),N(AE$2)&lt;=N($D87)),AE$2,"")</f>
        <v/>
      </c>
      <c r="AF87" s="25">
        <f>IF(AND(ISNUMBER($D87),N(AF$2)&gt;=N($G$2),N(AF$2)&lt;=N($D87)),AF$2,"")</f>
        <v/>
      </c>
      <c r="AG87" s="25">
        <f>IF(AND(ISNUMBER($D87),N(AG$2)&gt;=N($G$2),N(AG$2)&lt;=N($D87)),AG$2,"")</f>
        <v/>
      </c>
      <c r="AH87" s="25">
        <f>IF(AND(ISNUMBER($D87),N(AH$2)&gt;=N($G$2),N(AH$2)&lt;=N($D87)),AH$2,"")</f>
        <v/>
      </c>
      <c r="AI87" s="25">
        <f>IF(AND(ISNUMBER($D87),N(AI$2)&gt;=N($G$2),N(AI$2)&lt;=N($D87)),AI$2,"")</f>
        <v/>
      </c>
      <c r="AJ87" s="25">
        <f>IF(AND(ISNUMBER($D87),N(AJ$2)&gt;=N($G$2),N(AJ$2)&lt;=N($D87)),AJ$2,"")</f>
        <v/>
      </c>
      <c r="AK87" s="25">
        <f>IF(AND(ISNUMBER($D87),N(AK$2)&gt;=N($G$2),N(AK$2)&lt;=N($D87)),AK$2,"")</f>
        <v/>
      </c>
      <c r="AL87" s="25">
        <f>IF(AND(ISNUMBER($D87),N(AL$2)&gt;=N($G$2),N(AL$2)&lt;=N($D87)),AL$2,"")</f>
        <v/>
      </c>
      <c r="AM87" s="25">
        <f>IF(AND(ISNUMBER($D87),N(AM$2)&gt;=N($G$2),N(AM$2)&lt;=N($D87)),AM$2,"")</f>
        <v/>
      </c>
      <c r="AN87" s="25">
        <f>IF(AND(ISNUMBER($D87),N(AN$2)&gt;=N($G$2),N(AN$2)&lt;=N($D87)),AN$2,"")</f>
        <v/>
      </c>
      <c r="AO87" s="25">
        <f>IF(AND(ISNUMBER($D87),N(AO$2)&gt;=N($G$2),N(AO$2)&lt;=N($D87)),AO$2,"")</f>
        <v/>
      </c>
      <c r="AP87" s="25">
        <f>IF(AND(ISNUMBER($D87),N(AP$2)&gt;=N($G$2),N(AP$2)&lt;=N($D87)),AP$2,"")</f>
        <v/>
      </c>
      <c r="AQ87" s="25">
        <f>IF(AND(ISNUMBER($D87),N(AQ$2)&gt;=N($G$2),N(AQ$2)&lt;=N($D87)),AQ$2,"")</f>
        <v/>
      </c>
      <c r="AR87" s="25">
        <f>IF(AND(ISNUMBER($D87),N(AR$2)&gt;=N($G$2),N(AR$2)&lt;=N($D87)),AR$2,"")</f>
        <v/>
      </c>
      <c r="AS87" s="25">
        <f>IF(AND(ISNUMBER($D87),N(AS$2)&gt;=N($G$2),N(AS$2)&lt;=N($D87)),AS$2,"")</f>
        <v/>
      </c>
      <c r="AT87" s="25">
        <f>IF(AND(ISNUMBER($D87),N(AT$2)&gt;=N($G$2),N(AT$2)&lt;=N($D87)),AT$2,"")</f>
        <v/>
      </c>
      <c r="AU87" s="25">
        <f>IF(AND(ISNUMBER($D87),N(AU$2)&gt;=N($G$2),N(AU$2)&lt;=N($D87)),AU$2,"")</f>
        <v/>
      </c>
      <c r="AV87" s="25">
        <f>IF(AND(ISNUMBER($D87),N(AV$2)&gt;=N($G$2),N(AV$2)&lt;=N($D87)),AV$2,"")</f>
        <v/>
      </c>
      <c r="AW87" s="25">
        <f>IF(AND(ISNUMBER($D87),N(AW$2)&gt;=N($G$2),N(AW$2)&lt;=N($D87)),AW$2,"")</f>
        <v/>
      </c>
      <c r="AX87" s="25">
        <f>IF(AND(ISNUMBER($D87),N(AX$2)&gt;=N($G$2),N(AX$2)&lt;=N($D87)),AX$2,"")</f>
        <v/>
      </c>
      <c r="AY87" s="25">
        <f>IF(AND(ISNUMBER($D87),N(AY$2)&gt;=N($G$2),N(AY$2)&lt;=N($D87)),AY$2,"")</f>
        <v/>
      </c>
      <c r="AZ87" s="25">
        <f>IF(AND(ISNUMBER($D87),N(AZ$2)&gt;=N($G$2),N(AZ$2)&lt;=N($D87)),AZ$2,"")</f>
        <v/>
      </c>
      <c r="BA87" s="25">
        <f>IF(AND(ISNUMBER($D87),N(BA$2)&gt;=N($G$2),N(BA$2)&lt;=N($D87)),BA$2,"")</f>
        <v/>
      </c>
      <c r="BB87" s="25">
        <f>IF(AND(ISNUMBER($D87),N(BB$2)&gt;=N($G$2),N(BB$2)&lt;=N($D87)),BB$2,"")</f>
        <v/>
      </c>
      <c r="BC87" s="25">
        <f>IF(AND(ISNUMBER($D87),N(BC$2)&gt;=N($G$2),N(BC$2)&lt;=N($D87)),BC$2,"")</f>
        <v/>
      </c>
      <c r="BD87" s="25">
        <f>IF(AND(ISNUMBER($D87),N(BD$2)&gt;=N($G$2),N(BD$2)&lt;=N($D87)),BD$2,"")</f>
        <v/>
      </c>
      <c r="BE87" s="25">
        <f>IF(AND(ISNUMBER($D87),N(BE$2)&gt;=N($G$2),N(BE$2)&lt;=N($D87)),BE$2,"")</f>
        <v/>
      </c>
      <c r="BF87" s="25">
        <f>IF(AND(ISNUMBER($D87),N(BF$2)&gt;=N($G$2),N(BF$2)&lt;=N($D87)),BF$2,"")</f>
        <v/>
      </c>
      <c r="BG87" s="25">
        <f>IF(AND(ISNUMBER($D87),N(BG$2)&gt;=N($G$2),N(BG$2)&lt;=N($D87)),BG$2,"")</f>
        <v/>
      </c>
      <c r="BH87" s="25">
        <f>IF(AND(ISNUMBER($D87),N(BH$2)&gt;=N($G$2),N(BH$2)&lt;=N($D87)),BH$2,"")</f>
        <v/>
      </c>
      <c r="BI87" s="25">
        <f>IF(AND(ISNUMBER($D87),N(BI$2)&gt;=N($G$2),N(BI$2)&lt;=N($D87)),BI$2,"")</f>
        <v/>
      </c>
      <c r="BJ87" s="25">
        <f>IF(AND(ISNUMBER($D87),N(BJ$2)&gt;=N($G$2),N(BJ$2)&lt;=N($D87)),BJ$2,"")</f>
        <v/>
      </c>
      <c r="BK87" s="25">
        <f>IF(AND(ISNUMBER($D87),N(BK$2)&gt;=N($G$2),N(BK$2)&lt;=N($D87)),BK$2,"")</f>
        <v/>
      </c>
      <c r="BL87" s="25">
        <f>IF(AND(ISNUMBER($D87),N(BL$2)&gt;=N($G$2),N(BL$2)&lt;=N($D87)),BL$2,"")</f>
        <v/>
      </c>
      <c r="BM87" s="25">
        <f>IF(AND(ISNUMBER($D87),N(BM$2)&gt;=N($G$2),N(BM$2)&lt;=N($D87)),BM$2,"")</f>
        <v/>
      </c>
      <c r="BN87" s="25">
        <f>IF(AND(ISNUMBER($D87),N(BN$2)&gt;=N($G$2),N(BN$2)&lt;=N($D87)),BN$2,"")</f>
        <v/>
      </c>
      <c r="BO87" s="25">
        <f>IF(AND(ISNUMBER($D87),N(BO$2)&gt;=N($G$2),N(BO$2)&lt;=N($D87)),BO$2,"")</f>
        <v/>
      </c>
    </row>
    <row r="88" ht="20" customHeight="1">
      <c r="A88" s="26" t="inlineStr">
        <is>
          <t>实际</t>
        </is>
      </c>
      <c r="B88" s="26" t="inlineStr">
        <is>
          <t>第二期</t>
        </is>
      </c>
      <c r="C88" s="27" t="inlineStr">
        <is>
          <t>PAB220·单级样机</t>
        </is>
      </c>
      <c r="D88" s="28">
        <f>'时间节点计划表'!E44</f>
        <v/>
      </c>
      <c r="E88" s="28">
        <f>IF(COUNT('时间节点计划表'!F44),'时间节点计划表'!F44,"")</f>
        <v/>
      </c>
      <c r="F88" s="29">
        <f>IF(OR(D88="",E88=""),"待填",E88-D88)</f>
        <v/>
      </c>
      <c r="G88" s="25">
        <f>IF(AND(ISNUMBER($E88),N(G$2)&gt;=N($G$2),N(G$2)&lt;=N($E88)),G$2,"")</f>
        <v/>
      </c>
      <c r="H88" s="25">
        <f>IF(AND(ISNUMBER($E88),N(H$2)&gt;=N($G$2),N(H$2)&lt;=N($E88)),H$2,"")</f>
        <v/>
      </c>
      <c r="I88" s="25">
        <f>IF(AND(ISNUMBER($E88),N(I$2)&gt;=N($G$2),N(I$2)&lt;=N($E88)),I$2,"")</f>
        <v/>
      </c>
      <c r="J88" s="25">
        <f>IF(AND(ISNUMBER($E88),N(J$2)&gt;=N($G$2),N(J$2)&lt;=N($E88)),J$2,"")</f>
        <v/>
      </c>
      <c r="K88" s="25">
        <f>IF(AND(ISNUMBER($E88),N(K$2)&gt;=N($G$2),N(K$2)&lt;=N($E88)),K$2,"")</f>
        <v/>
      </c>
      <c r="L88" s="25">
        <f>IF(AND(ISNUMBER($E88),N(L$2)&gt;=N($G$2),N(L$2)&lt;=N($E88)),L$2,"")</f>
        <v/>
      </c>
      <c r="M88" s="25">
        <f>IF(AND(ISNUMBER($E88),N(M$2)&gt;=N($G$2),N(M$2)&lt;=N($E88)),M$2,"")</f>
        <v/>
      </c>
      <c r="N88" s="25">
        <f>IF(AND(ISNUMBER($E88),N(N$2)&gt;=N($G$2),N(N$2)&lt;=N($E88)),N$2,"")</f>
        <v/>
      </c>
      <c r="O88" s="25">
        <f>IF(AND(ISNUMBER($E88),N(O$2)&gt;=N($G$2),N(O$2)&lt;=N($E88)),O$2,"")</f>
        <v/>
      </c>
      <c r="P88" s="25">
        <f>IF(AND(ISNUMBER($E88),N(P$2)&gt;=N($G$2),N(P$2)&lt;=N($E88)),P$2,"")</f>
        <v/>
      </c>
      <c r="Q88" s="25">
        <f>IF(AND(ISNUMBER($E88),N(Q$2)&gt;=N($G$2),N(Q$2)&lt;=N($E88)),Q$2,"")</f>
        <v/>
      </c>
      <c r="R88" s="25">
        <f>IF(AND(ISNUMBER($E88),N(R$2)&gt;=N($G$2),N(R$2)&lt;=N($E88)),R$2,"")</f>
        <v/>
      </c>
      <c r="S88" s="25">
        <f>IF(AND(ISNUMBER($E88),N(S$2)&gt;=N($G$2),N(S$2)&lt;=N($E88)),S$2,"")</f>
        <v/>
      </c>
      <c r="T88" s="25">
        <f>IF(AND(ISNUMBER($E88),N(T$2)&gt;=N($G$2),N(T$2)&lt;=N($E88)),T$2,"")</f>
        <v/>
      </c>
      <c r="U88" s="25">
        <f>IF(AND(ISNUMBER($E88),N(U$2)&gt;=N($G$2),N(U$2)&lt;=N($E88)),U$2,"")</f>
        <v/>
      </c>
      <c r="V88" s="25">
        <f>IF(AND(ISNUMBER($E88),N(V$2)&gt;=N($G$2),N(V$2)&lt;=N($E88)),V$2,"")</f>
        <v/>
      </c>
      <c r="W88" s="25">
        <f>IF(AND(ISNUMBER($E88),N(W$2)&gt;=N($G$2),N(W$2)&lt;=N($E88)),W$2,"")</f>
        <v/>
      </c>
      <c r="X88" s="25">
        <f>IF(AND(ISNUMBER($E88),N(X$2)&gt;=N($G$2),N(X$2)&lt;=N($E88)),X$2,"")</f>
        <v/>
      </c>
      <c r="Y88" s="25">
        <f>IF(AND(ISNUMBER($E88),N(Y$2)&gt;=N($G$2),N(Y$2)&lt;=N($E88)),Y$2,"")</f>
        <v/>
      </c>
      <c r="Z88" s="25">
        <f>IF(AND(ISNUMBER($E88),N(Z$2)&gt;=N($G$2),N(Z$2)&lt;=N($E88)),Z$2,"")</f>
        <v/>
      </c>
      <c r="AA88" s="25">
        <f>IF(AND(ISNUMBER($E88),N(AA$2)&gt;=N($G$2),N(AA$2)&lt;=N($E88)),AA$2,"")</f>
        <v/>
      </c>
      <c r="AB88" s="25">
        <f>IF(AND(ISNUMBER($E88),N(AB$2)&gt;=N($G$2),N(AB$2)&lt;=N($E88)),AB$2,"")</f>
        <v/>
      </c>
      <c r="AC88" s="25">
        <f>IF(AND(ISNUMBER($E88),N(AC$2)&gt;=N($G$2),N(AC$2)&lt;=N($E88)),AC$2,"")</f>
        <v/>
      </c>
      <c r="AD88" s="25">
        <f>IF(AND(ISNUMBER($E88),N(AD$2)&gt;=N($G$2),N(AD$2)&lt;=N($E88)),AD$2,"")</f>
        <v/>
      </c>
      <c r="AE88" s="25">
        <f>IF(AND(ISNUMBER($E88),N(AE$2)&gt;=N($G$2),N(AE$2)&lt;=N($E88)),AE$2,"")</f>
        <v/>
      </c>
      <c r="AF88" s="25">
        <f>IF(AND(ISNUMBER($E88),N(AF$2)&gt;=N($G$2),N(AF$2)&lt;=N($E88)),AF$2,"")</f>
        <v/>
      </c>
      <c r="AG88" s="25">
        <f>IF(AND(ISNUMBER($E88),N(AG$2)&gt;=N($G$2),N(AG$2)&lt;=N($E88)),AG$2,"")</f>
        <v/>
      </c>
      <c r="AH88" s="25">
        <f>IF(AND(ISNUMBER($E88),N(AH$2)&gt;=N($G$2),N(AH$2)&lt;=N($E88)),AH$2,"")</f>
        <v/>
      </c>
      <c r="AI88" s="25">
        <f>IF(AND(ISNUMBER($E88),N(AI$2)&gt;=N($G$2),N(AI$2)&lt;=N($E88)),AI$2,"")</f>
        <v/>
      </c>
      <c r="AJ88" s="25">
        <f>IF(AND(ISNUMBER($E88),N(AJ$2)&gt;=N($G$2),N(AJ$2)&lt;=N($E88)),AJ$2,"")</f>
        <v/>
      </c>
      <c r="AK88" s="25">
        <f>IF(AND(ISNUMBER($E88),N(AK$2)&gt;=N($G$2),N(AK$2)&lt;=N($E88)),AK$2,"")</f>
        <v/>
      </c>
      <c r="AL88" s="25">
        <f>IF(AND(ISNUMBER($E88),N(AL$2)&gt;=N($G$2),N(AL$2)&lt;=N($E88)),AL$2,"")</f>
        <v/>
      </c>
      <c r="AM88" s="25">
        <f>IF(AND(ISNUMBER($E88),N(AM$2)&gt;=N($G$2),N(AM$2)&lt;=N($E88)),AM$2,"")</f>
        <v/>
      </c>
      <c r="AN88" s="25">
        <f>IF(AND(ISNUMBER($E88),N(AN$2)&gt;=N($G$2),N(AN$2)&lt;=N($E88)),AN$2,"")</f>
        <v/>
      </c>
      <c r="AO88" s="25">
        <f>IF(AND(ISNUMBER($E88),N(AO$2)&gt;=N($G$2),N(AO$2)&lt;=N($E88)),AO$2,"")</f>
        <v/>
      </c>
      <c r="AP88" s="25">
        <f>IF(AND(ISNUMBER($E88),N(AP$2)&gt;=N($G$2),N(AP$2)&lt;=N($E88)),AP$2,"")</f>
        <v/>
      </c>
      <c r="AQ88" s="25">
        <f>IF(AND(ISNUMBER($E88),N(AQ$2)&gt;=N($G$2),N(AQ$2)&lt;=N($E88)),AQ$2,"")</f>
        <v/>
      </c>
      <c r="AR88" s="25">
        <f>IF(AND(ISNUMBER($E88),N(AR$2)&gt;=N($G$2),N(AR$2)&lt;=N($E88)),AR$2,"")</f>
        <v/>
      </c>
      <c r="AS88" s="25">
        <f>IF(AND(ISNUMBER($E88),N(AS$2)&gt;=N($G$2),N(AS$2)&lt;=N($E88)),AS$2,"")</f>
        <v/>
      </c>
      <c r="AT88" s="25">
        <f>IF(AND(ISNUMBER($E88),N(AT$2)&gt;=N($G$2),N(AT$2)&lt;=N($E88)),AT$2,"")</f>
        <v/>
      </c>
      <c r="AU88" s="25">
        <f>IF(AND(ISNUMBER($E88),N(AU$2)&gt;=N($G$2),N(AU$2)&lt;=N($E88)),AU$2,"")</f>
        <v/>
      </c>
      <c r="AV88" s="25">
        <f>IF(AND(ISNUMBER($E88),N(AV$2)&gt;=N($G$2),N(AV$2)&lt;=N($E88)),AV$2,"")</f>
        <v/>
      </c>
      <c r="AW88" s="25">
        <f>IF(AND(ISNUMBER($E88),N(AW$2)&gt;=N($G$2),N(AW$2)&lt;=N($E88)),AW$2,"")</f>
        <v/>
      </c>
      <c r="AX88" s="25">
        <f>IF(AND(ISNUMBER($E88),N(AX$2)&gt;=N($G$2),N(AX$2)&lt;=N($E88)),AX$2,"")</f>
        <v/>
      </c>
      <c r="AY88" s="25">
        <f>IF(AND(ISNUMBER($E88),N(AY$2)&gt;=N($G$2),N(AY$2)&lt;=N($E88)),AY$2,"")</f>
        <v/>
      </c>
      <c r="AZ88" s="25">
        <f>IF(AND(ISNUMBER($E88),N(AZ$2)&gt;=N($G$2),N(AZ$2)&lt;=N($E88)),AZ$2,"")</f>
        <v/>
      </c>
      <c r="BA88" s="25">
        <f>IF(AND(ISNUMBER($E88),N(BA$2)&gt;=N($G$2),N(BA$2)&lt;=N($E88)),BA$2,"")</f>
        <v/>
      </c>
      <c r="BB88" s="25">
        <f>IF(AND(ISNUMBER($E88),N(BB$2)&gt;=N($G$2),N(BB$2)&lt;=N($E88)),BB$2,"")</f>
        <v/>
      </c>
      <c r="BC88" s="25">
        <f>IF(AND(ISNUMBER($E88),N(BC$2)&gt;=N($G$2),N(BC$2)&lt;=N($E88)),BC$2,"")</f>
        <v/>
      </c>
      <c r="BD88" s="25">
        <f>IF(AND(ISNUMBER($E88),N(BD$2)&gt;=N($G$2),N(BD$2)&lt;=N($E88)),BD$2,"")</f>
        <v/>
      </c>
      <c r="BE88" s="25">
        <f>IF(AND(ISNUMBER($E88),N(BE$2)&gt;=N($G$2),N(BE$2)&lt;=N($E88)),BE$2,"")</f>
        <v/>
      </c>
      <c r="BF88" s="25">
        <f>IF(AND(ISNUMBER($E88),N(BF$2)&gt;=N($G$2),N(BF$2)&lt;=N($E88)),BF$2,"")</f>
        <v/>
      </c>
      <c r="BG88" s="25">
        <f>IF(AND(ISNUMBER($E88),N(BG$2)&gt;=N($G$2),N(BG$2)&lt;=N($E88)),BG$2,"")</f>
        <v/>
      </c>
      <c r="BH88" s="25">
        <f>IF(AND(ISNUMBER($E88),N(BH$2)&gt;=N($G$2),N(BH$2)&lt;=N($E88)),BH$2,"")</f>
        <v/>
      </c>
      <c r="BI88" s="25">
        <f>IF(AND(ISNUMBER($E88),N(BI$2)&gt;=N($G$2),N(BI$2)&lt;=N($E88)),BI$2,"")</f>
        <v/>
      </c>
      <c r="BJ88" s="25">
        <f>IF(AND(ISNUMBER($E88),N(BJ$2)&gt;=N($G$2),N(BJ$2)&lt;=N($E88)),BJ$2,"")</f>
        <v/>
      </c>
      <c r="BK88" s="25">
        <f>IF(AND(ISNUMBER($E88),N(BK$2)&gt;=N($G$2),N(BK$2)&lt;=N($E88)),BK$2,"")</f>
        <v/>
      </c>
      <c r="BL88" s="25">
        <f>IF(AND(ISNUMBER($E88),N(BL$2)&gt;=N($G$2),N(BL$2)&lt;=N($E88)),BL$2,"")</f>
        <v/>
      </c>
      <c r="BM88" s="25">
        <f>IF(AND(ISNUMBER($E88),N(BM$2)&gt;=N($G$2),N(BM$2)&lt;=N($E88)),BM$2,"")</f>
        <v/>
      </c>
      <c r="BN88" s="25">
        <f>IF(AND(ISNUMBER($E88),N(BN$2)&gt;=N($G$2),N(BN$2)&lt;=N($E88)),BN$2,"")</f>
        <v/>
      </c>
      <c r="BO88" s="25">
        <f>IF(AND(ISNUMBER($E88),N(BO$2)&gt;=N($G$2),N(BO$2)&lt;=N($E88)),BO$2,"")</f>
        <v/>
      </c>
    </row>
    <row r="89" ht="20" customHeight="1">
      <c r="A89" s="21" t="inlineStr">
        <is>
          <t>预估</t>
        </is>
      </c>
      <c r="B89" s="21" t="inlineStr">
        <is>
          <t>第二期</t>
        </is>
      </c>
      <c r="C89" s="22" t="inlineStr">
        <is>
          <t>PAB220·双级样机</t>
        </is>
      </c>
      <c r="D89" s="23">
        <f>'时间节点计划表'!E45</f>
        <v/>
      </c>
      <c r="E89" s="23">
        <f>IF(COUNT('时间节点计划表'!F45),'时间节点计划表'!F45,"")</f>
        <v/>
      </c>
      <c r="F89" s="24" t="inlineStr"/>
      <c r="G89" s="25">
        <f>IF(AND(ISNUMBER($D89),N(G$2)&gt;=N($G$2),N(G$2)&lt;=N($D89)),G$2,"")</f>
        <v/>
      </c>
      <c r="H89" s="25">
        <f>IF(AND(ISNUMBER($D89),N(H$2)&gt;=N($G$2),N(H$2)&lt;=N($D89)),H$2,"")</f>
        <v/>
      </c>
      <c r="I89" s="25">
        <f>IF(AND(ISNUMBER($D89),N(I$2)&gt;=N($G$2),N(I$2)&lt;=N($D89)),I$2,"")</f>
        <v/>
      </c>
      <c r="J89" s="25">
        <f>IF(AND(ISNUMBER($D89),N(J$2)&gt;=N($G$2),N(J$2)&lt;=N($D89)),J$2,"")</f>
        <v/>
      </c>
      <c r="K89" s="25">
        <f>IF(AND(ISNUMBER($D89),N(K$2)&gt;=N($G$2),N(K$2)&lt;=N($D89)),K$2,"")</f>
        <v/>
      </c>
      <c r="L89" s="25">
        <f>IF(AND(ISNUMBER($D89),N(L$2)&gt;=N($G$2),N(L$2)&lt;=N($D89)),L$2,"")</f>
        <v/>
      </c>
      <c r="M89" s="25">
        <f>IF(AND(ISNUMBER($D89),N(M$2)&gt;=N($G$2),N(M$2)&lt;=N($D89)),M$2,"")</f>
        <v/>
      </c>
      <c r="N89" s="25">
        <f>IF(AND(ISNUMBER($D89),N(N$2)&gt;=N($G$2),N(N$2)&lt;=N($D89)),N$2,"")</f>
        <v/>
      </c>
      <c r="O89" s="25">
        <f>IF(AND(ISNUMBER($D89),N(O$2)&gt;=N($G$2),N(O$2)&lt;=N($D89)),O$2,"")</f>
        <v/>
      </c>
      <c r="P89" s="25">
        <f>IF(AND(ISNUMBER($D89),N(P$2)&gt;=N($G$2),N(P$2)&lt;=N($D89)),P$2,"")</f>
        <v/>
      </c>
      <c r="Q89" s="25">
        <f>IF(AND(ISNUMBER($D89),N(Q$2)&gt;=N($G$2),N(Q$2)&lt;=N($D89)),Q$2,"")</f>
        <v/>
      </c>
      <c r="R89" s="25">
        <f>IF(AND(ISNUMBER($D89),N(R$2)&gt;=N($G$2),N(R$2)&lt;=N($D89)),R$2,"")</f>
        <v/>
      </c>
      <c r="S89" s="25">
        <f>IF(AND(ISNUMBER($D89),N(S$2)&gt;=N($G$2),N(S$2)&lt;=N($D89)),S$2,"")</f>
        <v/>
      </c>
      <c r="T89" s="25">
        <f>IF(AND(ISNUMBER($D89),N(T$2)&gt;=N($G$2),N(T$2)&lt;=N($D89)),T$2,"")</f>
        <v/>
      </c>
      <c r="U89" s="25">
        <f>IF(AND(ISNUMBER($D89),N(U$2)&gt;=N($G$2),N(U$2)&lt;=N($D89)),U$2,"")</f>
        <v/>
      </c>
      <c r="V89" s="25">
        <f>IF(AND(ISNUMBER($D89),N(V$2)&gt;=N($G$2),N(V$2)&lt;=N($D89)),V$2,"")</f>
        <v/>
      </c>
      <c r="W89" s="25">
        <f>IF(AND(ISNUMBER($D89),N(W$2)&gt;=N($G$2),N(W$2)&lt;=N($D89)),W$2,"")</f>
        <v/>
      </c>
      <c r="X89" s="25">
        <f>IF(AND(ISNUMBER($D89),N(X$2)&gt;=N($G$2),N(X$2)&lt;=N($D89)),X$2,"")</f>
        <v/>
      </c>
      <c r="Y89" s="25">
        <f>IF(AND(ISNUMBER($D89),N(Y$2)&gt;=N($G$2),N(Y$2)&lt;=N($D89)),Y$2,"")</f>
        <v/>
      </c>
      <c r="Z89" s="25">
        <f>IF(AND(ISNUMBER($D89),N(Z$2)&gt;=N($G$2),N(Z$2)&lt;=N($D89)),Z$2,"")</f>
        <v/>
      </c>
      <c r="AA89" s="25">
        <f>IF(AND(ISNUMBER($D89),N(AA$2)&gt;=N($G$2),N(AA$2)&lt;=N($D89)),AA$2,"")</f>
        <v/>
      </c>
      <c r="AB89" s="25">
        <f>IF(AND(ISNUMBER($D89),N(AB$2)&gt;=N($G$2),N(AB$2)&lt;=N($D89)),AB$2,"")</f>
        <v/>
      </c>
      <c r="AC89" s="25">
        <f>IF(AND(ISNUMBER($D89),N(AC$2)&gt;=N($G$2),N(AC$2)&lt;=N($D89)),AC$2,"")</f>
        <v/>
      </c>
      <c r="AD89" s="25">
        <f>IF(AND(ISNUMBER($D89),N(AD$2)&gt;=N($G$2),N(AD$2)&lt;=N($D89)),AD$2,"")</f>
        <v/>
      </c>
      <c r="AE89" s="25">
        <f>IF(AND(ISNUMBER($D89),N(AE$2)&gt;=N($G$2),N(AE$2)&lt;=N($D89)),AE$2,"")</f>
        <v/>
      </c>
      <c r="AF89" s="25">
        <f>IF(AND(ISNUMBER($D89),N(AF$2)&gt;=N($G$2),N(AF$2)&lt;=N($D89)),AF$2,"")</f>
        <v/>
      </c>
      <c r="AG89" s="25">
        <f>IF(AND(ISNUMBER($D89),N(AG$2)&gt;=N($G$2),N(AG$2)&lt;=N($D89)),AG$2,"")</f>
        <v/>
      </c>
      <c r="AH89" s="25">
        <f>IF(AND(ISNUMBER($D89),N(AH$2)&gt;=N($G$2),N(AH$2)&lt;=N($D89)),AH$2,"")</f>
        <v/>
      </c>
      <c r="AI89" s="25">
        <f>IF(AND(ISNUMBER($D89),N(AI$2)&gt;=N($G$2),N(AI$2)&lt;=N($D89)),AI$2,"")</f>
        <v/>
      </c>
      <c r="AJ89" s="25">
        <f>IF(AND(ISNUMBER($D89),N(AJ$2)&gt;=N($G$2),N(AJ$2)&lt;=N($D89)),AJ$2,"")</f>
        <v/>
      </c>
      <c r="AK89" s="25">
        <f>IF(AND(ISNUMBER($D89),N(AK$2)&gt;=N($G$2),N(AK$2)&lt;=N($D89)),AK$2,"")</f>
        <v/>
      </c>
      <c r="AL89" s="25">
        <f>IF(AND(ISNUMBER($D89),N(AL$2)&gt;=N($G$2),N(AL$2)&lt;=N($D89)),AL$2,"")</f>
        <v/>
      </c>
      <c r="AM89" s="25">
        <f>IF(AND(ISNUMBER($D89),N(AM$2)&gt;=N($G$2),N(AM$2)&lt;=N($D89)),AM$2,"")</f>
        <v/>
      </c>
      <c r="AN89" s="25">
        <f>IF(AND(ISNUMBER($D89),N(AN$2)&gt;=N($G$2),N(AN$2)&lt;=N($D89)),AN$2,"")</f>
        <v/>
      </c>
      <c r="AO89" s="25">
        <f>IF(AND(ISNUMBER($D89),N(AO$2)&gt;=N($G$2),N(AO$2)&lt;=N($D89)),AO$2,"")</f>
        <v/>
      </c>
      <c r="AP89" s="25">
        <f>IF(AND(ISNUMBER($D89),N(AP$2)&gt;=N($G$2),N(AP$2)&lt;=N($D89)),AP$2,"")</f>
        <v/>
      </c>
      <c r="AQ89" s="25">
        <f>IF(AND(ISNUMBER($D89),N(AQ$2)&gt;=N($G$2),N(AQ$2)&lt;=N($D89)),AQ$2,"")</f>
        <v/>
      </c>
      <c r="AR89" s="25">
        <f>IF(AND(ISNUMBER($D89),N(AR$2)&gt;=N($G$2),N(AR$2)&lt;=N($D89)),AR$2,"")</f>
        <v/>
      </c>
      <c r="AS89" s="25">
        <f>IF(AND(ISNUMBER($D89),N(AS$2)&gt;=N($G$2),N(AS$2)&lt;=N($D89)),AS$2,"")</f>
        <v/>
      </c>
      <c r="AT89" s="25">
        <f>IF(AND(ISNUMBER($D89),N(AT$2)&gt;=N($G$2),N(AT$2)&lt;=N($D89)),AT$2,"")</f>
        <v/>
      </c>
      <c r="AU89" s="25">
        <f>IF(AND(ISNUMBER($D89),N(AU$2)&gt;=N($G$2),N(AU$2)&lt;=N($D89)),AU$2,"")</f>
        <v/>
      </c>
      <c r="AV89" s="25">
        <f>IF(AND(ISNUMBER($D89),N(AV$2)&gt;=N($G$2),N(AV$2)&lt;=N($D89)),AV$2,"")</f>
        <v/>
      </c>
      <c r="AW89" s="25">
        <f>IF(AND(ISNUMBER($D89),N(AW$2)&gt;=N($G$2),N(AW$2)&lt;=N($D89)),AW$2,"")</f>
        <v/>
      </c>
      <c r="AX89" s="25">
        <f>IF(AND(ISNUMBER($D89),N(AX$2)&gt;=N($G$2),N(AX$2)&lt;=N($D89)),AX$2,"")</f>
        <v/>
      </c>
      <c r="AY89" s="25">
        <f>IF(AND(ISNUMBER($D89),N(AY$2)&gt;=N($G$2),N(AY$2)&lt;=N($D89)),AY$2,"")</f>
        <v/>
      </c>
      <c r="AZ89" s="25">
        <f>IF(AND(ISNUMBER($D89),N(AZ$2)&gt;=N($G$2),N(AZ$2)&lt;=N($D89)),AZ$2,"")</f>
        <v/>
      </c>
      <c r="BA89" s="25">
        <f>IF(AND(ISNUMBER($D89),N(BA$2)&gt;=N($G$2),N(BA$2)&lt;=N($D89)),BA$2,"")</f>
        <v/>
      </c>
      <c r="BB89" s="25">
        <f>IF(AND(ISNUMBER($D89),N(BB$2)&gt;=N($G$2),N(BB$2)&lt;=N($D89)),BB$2,"")</f>
        <v/>
      </c>
      <c r="BC89" s="25">
        <f>IF(AND(ISNUMBER($D89),N(BC$2)&gt;=N($G$2),N(BC$2)&lt;=N($D89)),BC$2,"")</f>
        <v/>
      </c>
      <c r="BD89" s="25">
        <f>IF(AND(ISNUMBER($D89),N(BD$2)&gt;=N($G$2),N(BD$2)&lt;=N($D89)),BD$2,"")</f>
        <v/>
      </c>
      <c r="BE89" s="25">
        <f>IF(AND(ISNUMBER($D89),N(BE$2)&gt;=N($G$2),N(BE$2)&lt;=N($D89)),BE$2,"")</f>
        <v/>
      </c>
      <c r="BF89" s="25">
        <f>IF(AND(ISNUMBER($D89),N(BF$2)&gt;=N($G$2),N(BF$2)&lt;=N($D89)),BF$2,"")</f>
        <v/>
      </c>
      <c r="BG89" s="25">
        <f>IF(AND(ISNUMBER($D89),N(BG$2)&gt;=N($G$2),N(BG$2)&lt;=N($D89)),BG$2,"")</f>
        <v/>
      </c>
      <c r="BH89" s="25">
        <f>IF(AND(ISNUMBER($D89),N(BH$2)&gt;=N($G$2),N(BH$2)&lt;=N($D89)),BH$2,"")</f>
        <v/>
      </c>
      <c r="BI89" s="25">
        <f>IF(AND(ISNUMBER($D89),N(BI$2)&gt;=N($G$2),N(BI$2)&lt;=N($D89)),BI$2,"")</f>
        <v/>
      </c>
      <c r="BJ89" s="25">
        <f>IF(AND(ISNUMBER($D89),N(BJ$2)&gt;=N($G$2),N(BJ$2)&lt;=N($D89)),BJ$2,"")</f>
        <v/>
      </c>
      <c r="BK89" s="25">
        <f>IF(AND(ISNUMBER($D89),N(BK$2)&gt;=N($G$2),N(BK$2)&lt;=N($D89)),BK$2,"")</f>
        <v/>
      </c>
      <c r="BL89" s="25">
        <f>IF(AND(ISNUMBER($D89),N(BL$2)&gt;=N($G$2),N(BL$2)&lt;=N($D89)),BL$2,"")</f>
        <v/>
      </c>
      <c r="BM89" s="25">
        <f>IF(AND(ISNUMBER($D89),N(BM$2)&gt;=N($G$2),N(BM$2)&lt;=N($D89)),BM$2,"")</f>
        <v/>
      </c>
      <c r="BN89" s="25">
        <f>IF(AND(ISNUMBER($D89),N(BN$2)&gt;=N($G$2),N(BN$2)&lt;=N($D89)),BN$2,"")</f>
        <v/>
      </c>
      <c r="BO89" s="25">
        <f>IF(AND(ISNUMBER($D89),N(BO$2)&gt;=N($G$2),N(BO$2)&lt;=N($D89)),BO$2,"")</f>
        <v/>
      </c>
    </row>
    <row r="90" ht="20" customHeight="1">
      <c r="A90" s="26" t="inlineStr">
        <is>
          <t>实际</t>
        </is>
      </c>
      <c r="B90" s="26" t="inlineStr">
        <is>
          <t>第二期</t>
        </is>
      </c>
      <c r="C90" s="27" t="inlineStr">
        <is>
          <t>PAB220·双级样机</t>
        </is>
      </c>
      <c r="D90" s="28">
        <f>'时间节点计划表'!E45</f>
        <v/>
      </c>
      <c r="E90" s="28">
        <f>IF(COUNT('时间节点计划表'!F45),'时间节点计划表'!F45,"")</f>
        <v/>
      </c>
      <c r="F90" s="29">
        <f>IF(OR(D90="",E90=""),"待填",E90-D90)</f>
        <v/>
      </c>
      <c r="G90" s="25">
        <f>IF(AND(ISNUMBER($E90),N(G$2)&gt;=N($G$2),N(G$2)&lt;=N($E90)),G$2,"")</f>
        <v/>
      </c>
      <c r="H90" s="25">
        <f>IF(AND(ISNUMBER($E90),N(H$2)&gt;=N($G$2),N(H$2)&lt;=N($E90)),H$2,"")</f>
        <v/>
      </c>
      <c r="I90" s="25">
        <f>IF(AND(ISNUMBER($E90),N(I$2)&gt;=N($G$2),N(I$2)&lt;=N($E90)),I$2,"")</f>
        <v/>
      </c>
      <c r="J90" s="25">
        <f>IF(AND(ISNUMBER($E90),N(J$2)&gt;=N($G$2),N(J$2)&lt;=N($E90)),J$2,"")</f>
        <v/>
      </c>
      <c r="K90" s="25">
        <f>IF(AND(ISNUMBER($E90),N(K$2)&gt;=N($G$2),N(K$2)&lt;=N($E90)),K$2,"")</f>
        <v/>
      </c>
      <c r="L90" s="25">
        <f>IF(AND(ISNUMBER($E90),N(L$2)&gt;=N($G$2),N(L$2)&lt;=N($E90)),L$2,"")</f>
        <v/>
      </c>
      <c r="M90" s="25">
        <f>IF(AND(ISNUMBER($E90),N(M$2)&gt;=N($G$2),N(M$2)&lt;=N($E90)),M$2,"")</f>
        <v/>
      </c>
      <c r="N90" s="25">
        <f>IF(AND(ISNUMBER($E90),N(N$2)&gt;=N($G$2),N(N$2)&lt;=N($E90)),N$2,"")</f>
        <v/>
      </c>
      <c r="O90" s="25">
        <f>IF(AND(ISNUMBER($E90),N(O$2)&gt;=N($G$2),N(O$2)&lt;=N($E90)),O$2,"")</f>
        <v/>
      </c>
      <c r="P90" s="25">
        <f>IF(AND(ISNUMBER($E90),N(P$2)&gt;=N($G$2),N(P$2)&lt;=N($E90)),P$2,"")</f>
        <v/>
      </c>
      <c r="Q90" s="25">
        <f>IF(AND(ISNUMBER($E90),N(Q$2)&gt;=N($G$2),N(Q$2)&lt;=N($E90)),Q$2,"")</f>
        <v/>
      </c>
      <c r="R90" s="25">
        <f>IF(AND(ISNUMBER($E90),N(R$2)&gt;=N($G$2),N(R$2)&lt;=N($E90)),R$2,"")</f>
        <v/>
      </c>
      <c r="S90" s="25">
        <f>IF(AND(ISNUMBER($E90),N(S$2)&gt;=N($G$2),N(S$2)&lt;=N($E90)),S$2,"")</f>
        <v/>
      </c>
      <c r="T90" s="25">
        <f>IF(AND(ISNUMBER($E90),N(T$2)&gt;=N($G$2),N(T$2)&lt;=N($E90)),T$2,"")</f>
        <v/>
      </c>
      <c r="U90" s="25">
        <f>IF(AND(ISNUMBER($E90),N(U$2)&gt;=N($G$2),N(U$2)&lt;=N($E90)),U$2,"")</f>
        <v/>
      </c>
      <c r="V90" s="25">
        <f>IF(AND(ISNUMBER($E90),N(V$2)&gt;=N($G$2),N(V$2)&lt;=N($E90)),V$2,"")</f>
        <v/>
      </c>
      <c r="W90" s="25">
        <f>IF(AND(ISNUMBER($E90),N(W$2)&gt;=N($G$2),N(W$2)&lt;=N($E90)),W$2,"")</f>
        <v/>
      </c>
      <c r="X90" s="25">
        <f>IF(AND(ISNUMBER($E90),N(X$2)&gt;=N($G$2),N(X$2)&lt;=N($E90)),X$2,"")</f>
        <v/>
      </c>
      <c r="Y90" s="25">
        <f>IF(AND(ISNUMBER($E90),N(Y$2)&gt;=N($G$2),N(Y$2)&lt;=N($E90)),Y$2,"")</f>
        <v/>
      </c>
      <c r="Z90" s="25">
        <f>IF(AND(ISNUMBER($E90),N(Z$2)&gt;=N($G$2),N(Z$2)&lt;=N($E90)),Z$2,"")</f>
        <v/>
      </c>
      <c r="AA90" s="25">
        <f>IF(AND(ISNUMBER($E90),N(AA$2)&gt;=N($G$2),N(AA$2)&lt;=N($E90)),AA$2,"")</f>
        <v/>
      </c>
      <c r="AB90" s="25">
        <f>IF(AND(ISNUMBER($E90),N(AB$2)&gt;=N($G$2),N(AB$2)&lt;=N($E90)),AB$2,"")</f>
        <v/>
      </c>
      <c r="AC90" s="25">
        <f>IF(AND(ISNUMBER($E90),N(AC$2)&gt;=N($G$2),N(AC$2)&lt;=N($E90)),AC$2,"")</f>
        <v/>
      </c>
      <c r="AD90" s="25">
        <f>IF(AND(ISNUMBER($E90),N(AD$2)&gt;=N($G$2),N(AD$2)&lt;=N($E90)),AD$2,"")</f>
        <v/>
      </c>
      <c r="AE90" s="25">
        <f>IF(AND(ISNUMBER($E90),N(AE$2)&gt;=N($G$2),N(AE$2)&lt;=N($E90)),AE$2,"")</f>
        <v/>
      </c>
      <c r="AF90" s="25">
        <f>IF(AND(ISNUMBER($E90),N(AF$2)&gt;=N($G$2),N(AF$2)&lt;=N($E90)),AF$2,"")</f>
        <v/>
      </c>
      <c r="AG90" s="25">
        <f>IF(AND(ISNUMBER($E90),N(AG$2)&gt;=N($G$2),N(AG$2)&lt;=N($E90)),AG$2,"")</f>
        <v/>
      </c>
      <c r="AH90" s="25">
        <f>IF(AND(ISNUMBER($E90),N(AH$2)&gt;=N($G$2),N(AH$2)&lt;=N($E90)),AH$2,"")</f>
        <v/>
      </c>
      <c r="AI90" s="25">
        <f>IF(AND(ISNUMBER($E90),N(AI$2)&gt;=N($G$2),N(AI$2)&lt;=N($E90)),AI$2,"")</f>
        <v/>
      </c>
      <c r="AJ90" s="25">
        <f>IF(AND(ISNUMBER($E90),N(AJ$2)&gt;=N($G$2),N(AJ$2)&lt;=N($E90)),AJ$2,"")</f>
        <v/>
      </c>
      <c r="AK90" s="25">
        <f>IF(AND(ISNUMBER($E90),N(AK$2)&gt;=N($G$2),N(AK$2)&lt;=N($E90)),AK$2,"")</f>
        <v/>
      </c>
      <c r="AL90" s="25">
        <f>IF(AND(ISNUMBER($E90),N(AL$2)&gt;=N($G$2),N(AL$2)&lt;=N($E90)),AL$2,"")</f>
        <v/>
      </c>
      <c r="AM90" s="25">
        <f>IF(AND(ISNUMBER($E90),N(AM$2)&gt;=N($G$2),N(AM$2)&lt;=N($E90)),AM$2,"")</f>
        <v/>
      </c>
      <c r="AN90" s="25">
        <f>IF(AND(ISNUMBER($E90),N(AN$2)&gt;=N($G$2),N(AN$2)&lt;=N($E90)),AN$2,"")</f>
        <v/>
      </c>
      <c r="AO90" s="25">
        <f>IF(AND(ISNUMBER($E90),N(AO$2)&gt;=N($G$2),N(AO$2)&lt;=N($E90)),AO$2,"")</f>
        <v/>
      </c>
      <c r="AP90" s="25">
        <f>IF(AND(ISNUMBER($E90),N(AP$2)&gt;=N($G$2),N(AP$2)&lt;=N($E90)),AP$2,"")</f>
        <v/>
      </c>
      <c r="AQ90" s="25">
        <f>IF(AND(ISNUMBER($E90),N(AQ$2)&gt;=N($G$2),N(AQ$2)&lt;=N($E90)),AQ$2,"")</f>
        <v/>
      </c>
      <c r="AR90" s="25">
        <f>IF(AND(ISNUMBER($E90),N(AR$2)&gt;=N($G$2),N(AR$2)&lt;=N($E90)),AR$2,"")</f>
        <v/>
      </c>
      <c r="AS90" s="25">
        <f>IF(AND(ISNUMBER($E90),N(AS$2)&gt;=N($G$2),N(AS$2)&lt;=N($E90)),AS$2,"")</f>
        <v/>
      </c>
      <c r="AT90" s="25">
        <f>IF(AND(ISNUMBER($E90),N(AT$2)&gt;=N($G$2),N(AT$2)&lt;=N($E90)),AT$2,"")</f>
        <v/>
      </c>
      <c r="AU90" s="25">
        <f>IF(AND(ISNUMBER($E90),N(AU$2)&gt;=N($G$2),N(AU$2)&lt;=N($E90)),AU$2,"")</f>
        <v/>
      </c>
      <c r="AV90" s="25">
        <f>IF(AND(ISNUMBER($E90),N(AV$2)&gt;=N($G$2),N(AV$2)&lt;=N($E90)),AV$2,"")</f>
        <v/>
      </c>
      <c r="AW90" s="25">
        <f>IF(AND(ISNUMBER($E90),N(AW$2)&gt;=N($G$2),N(AW$2)&lt;=N($E90)),AW$2,"")</f>
        <v/>
      </c>
      <c r="AX90" s="25">
        <f>IF(AND(ISNUMBER($E90),N(AX$2)&gt;=N($G$2),N(AX$2)&lt;=N($E90)),AX$2,"")</f>
        <v/>
      </c>
      <c r="AY90" s="25">
        <f>IF(AND(ISNUMBER($E90),N(AY$2)&gt;=N($G$2),N(AY$2)&lt;=N($E90)),AY$2,"")</f>
        <v/>
      </c>
      <c r="AZ90" s="25">
        <f>IF(AND(ISNUMBER($E90),N(AZ$2)&gt;=N($G$2),N(AZ$2)&lt;=N($E90)),AZ$2,"")</f>
        <v/>
      </c>
      <c r="BA90" s="25">
        <f>IF(AND(ISNUMBER($E90),N(BA$2)&gt;=N($G$2),N(BA$2)&lt;=N($E90)),BA$2,"")</f>
        <v/>
      </c>
      <c r="BB90" s="25">
        <f>IF(AND(ISNUMBER($E90),N(BB$2)&gt;=N($G$2),N(BB$2)&lt;=N($E90)),BB$2,"")</f>
        <v/>
      </c>
      <c r="BC90" s="25">
        <f>IF(AND(ISNUMBER($E90),N(BC$2)&gt;=N($G$2),N(BC$2)&lt;=N($E90)),BC$2,"")</f>
        <v/>
      </c>
      <c r="BD90" s="25">
        <f>IF(AND(ISNUMBER($E90),N(BD$2)&gt;=N($G$2),N(BD$2)&lt;=N($E90)),BD$2,"")</f>
        <v/>
      </c>
      <c r="BE90" s="25">
        <f>IF(AND(ISNUMBER($E90),N(BE$2)&gt;=N($G$2),N(BE$2)&lt;=N($E90)),BE$2,"")</f>
        <v/>
      </c>
      <c r="BF90" s="25">
        <f>IF(AND(ISNUMBER($E90),N(BF$2)&gt;=N($G$2),N(BF$2)&lt;=N($E90)),BF$2,"")</f>
        <v/>
      </c>
      <c r="BG90" s="25">
        <f>IF(AND(ISNUMBER($E90),N(BG$2)&gt;=N($G$2),N(BG$2)&lt;=N($E90)),BG$2,"")</f>
        <v/>
      </c>
      <c r="BH90" s="25">
        <f>IF(AND(ISNUMBER($E90),N(BH$2)&gt;=N($G$2),N(BH$2)&lt;=N($E90)),BH$2,"")</f>
        <v/>
      </c>
      <c r="BI90" s="25">
        <f>IF(AND(ISNUMBER($E90),N(BI$2)&gt;=N($G$2),N(BI$2)&lt;=N($E90)),BI$2,"")</f>
        <v/>
      </c>
      <c r="BJ90" s="25">
        <f>IF(AND(ISNUMBER($E90),N(BJ$2)&gt;=N($G$2),N(BJ$2)&lt;=N($E90)),BJ$2,"")</f>
        <v/>
      </c>
      <c r="BK90" s="25">
        <f>IF(AND(ISNUMBER($E90),N(BK$2)&gt;=N($G$2),N(BK$2)&lt;=N($E90)),BK$2,"")</f>
        <v/>
      </c>
      <c r="BL90" s="25">
        <f>IF(AND(ISNUMBER($E90),N(BL$2)&gt;=N($G$2),N(BL$2)&lt;=N($E90)),BL$2,"")</f>
        <v/>
      </c>
      <c r="BM90" s="25">
        <f>IF(AND(ISNUMBER($E90),N(BM$2)&gt;=N($G$2),N(BM$2)&lt;=N($E90)),BM$2,"")</f>
        <v/>
      </c>
      <c r="BN90" s="25">
        <f>IF(AND(ISNUMBER($E90),N(BN$2)&gt;=N($G$2),N(BN$2)&lt;=N($E90)),BN$2,"")</f>
        <v/>
      </c>
      <c r="BO90" s="25">
        <f>IF(AND(ISNUMBER($E90),N(BO$2)&gt;=N($G$2),N(BO$2)&lt;=N($E90)),BO$2,"")</f>
        <v/>
      </c>
    </row>
    <row r="92" ht="36" customHeight="1">
      <c r="A92" s="14" t="inlineStr">
        <is>
          <t>色条从项目首日铺底纹到完成日，格子里显示该日日期（yyyy-mm-dd）。蓝=预估；橙/红/绿=实际（准时/延期/提前）。实际未填时无色条。</t>
        </is>
      </c>
      <c r="G92" s="30" t="inlineStr">
        <is>
          <t>预估</t>
        </is>
      </c>
      <c r="K92" s="31" t="inlineStr">
        <is>
          <t>实际·准时</t>
        </is>
      </c>
      <c r="O92" s="32" t="inlineStr">
        <is>
          <t>实际·延期</t>
        </is>
      </c>
      <c r="S92" s="33" t="inlineStr">
        <is>
          <t>实际·提前</t>
        </is>
      </c>
    </row>
  </sheetData>
  <mergeCells count="5">
    <mergeCell ref="AS1:BO1"/>
    <mergeCell ref="A1:F1"/>
    <mergeCell ref="G1:N1"/>
    <mergeCell ref="A92:F92"/>
    <mergeCell ref="O1:AR1"/>
  </mergeCells>
  <conditionalFormatting sqref="G3:BO90">
    <cfRule type="expression" priority="1" dxfId="3">
      <formula>AND($A3="预估",ISNUMBER(G3))</formula>
    </cfRule>
    <cfRule type="expression" priority="2" dxfId="4">
      <formula>AND($A3="实际",ISNUMBER(G3),$E3=$D3)</formula>
    </cfRule>
    <cfRule type="expression" priority="3" dxfId="5">
      <formula>AND($A3="实际",ISNUMBER(G3),$E3&gt;$D3)</formula>
    </cfRule>
    <cfRule type="expression" priority="4" dxfId="6">
      <formula>AND($A3="实际",ISNUMBER(G3),$E3&lt;$D3)</formula>
    </cfRule>
  </conditionalFormatting>
  <pageMargins left="0.75" right="0.75" top="1" bottom="1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2026-08-20T06:33:36Z</dcterms:created>
  <dcterms:modified xsi:type="dcterms:W3CDTF">2026-08-20T06:33:36Z</dcterms:modified>
</cp:coreProperties>
</file>